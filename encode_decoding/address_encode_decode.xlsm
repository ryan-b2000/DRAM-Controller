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455" activeTab="1"/>
  </bookViews>
  <sheets>
    <sheet name="main" sheetId="8" r:id="rId1"/>
    <sheet name="Address Decoder" sheetId="7" r:id="rId2"/>
    <sheet name="Address Encoder" sheetId="1" r:id="rId3"/>
    <sheet name="Sheet2" sheetId="2" r:id="rId4"/>
    <sheet name="Sheet3" sheetId="5" r:id="rId5"/>
  </sheets>
  <calcPr calcId="152511"/>
</workbook>
</file>

<file path=xl/calcChain.xml><?xml version="1.0" encoding="utf-8"?>
<calcChain xmlns="http://schemas.openxmlformats.org/spreadsheetml/2006/main">
  <c r="L13" i="1" l="1"/>
  <c r="AB5" i="1" s="1"/>
  <c r="L14" i="1"/>
  <c r="AD5" i="1" s="1"/>
  <c r="M14" i="1"/>
  <c r="AE5" i="1" s="1"/>
  <c r="M13" i="1"/>
  <c r="AC5" i="1" s="1"/>
  <c r="M12" i="1"/>
  <c r="V5" i="1" s="1"/>
  <c r="Z11" i="1"/>
  <c r="S5" i="1" s="1"/>
  <c r="Y11" i="1"/>
  <c r="R5" i="1" s="1"/>
  <c r="X11" i="1"/>
  <c r="Q5" i="1" s="1"/>
  <c r="W11" i="1"/>
  <c r="P5" i="1" s="1"/>
  <c r="V11" i="1"/>
  <c r="O5" i="1" s="1"/>
  <c r="U11" i="1"/>
  <c r="N5" i="1" s="1"/>
  <c r="T11" i="1"/>
  <c r="M5" i="1" s="1"/>
  <c r="S11" i="1"/>
  <c r="L5" i="1" s="1"/>
  <c r="R12" i="1"/>
  <c r="AA5" i="1" s="1"/>
  <c r="R11" i="1"/>
  <c r="K5" i="1" s="1"/>
  <c r="Q12" i="1"/>
  <c r="Z5" i="1" s="1"/>
  <c r="Q11" i="1"/>
  <c r="J5" i="1" s="1"/>
  <c r="P12" i="1"/>
  <c r="Y5" i="1" s="1"/>
  <c r="P11" i="1"/>
  <c r="I5" i="1" s="1"/>
  <c r="O12" i="1"/>
  <c r="X5" i="1" s="1"/>
  <c r="O11" i="1"/>
  <c r="H5" i="1" s="1"/>
  <c r="N12" i="1"/>
  <c r="W5" i="1" s="1"/>
  <c r="N11" i="1"/>
  <c r="G5" i="1" s="1"/>
  <c r="M11" i="1"/>
  <c r="F5" i="1" s="1"/>
  <c r="L12" i="1"/>
  <c r="U5" i="1" s="1"/>
  <c r="L11" i="1"/>
  <c r="E5" i="1" s="1"/>
  <c r="AA11" i="1"/>
  <c r="T5" i="1" s="1"/>
  <c r="L15" i="1"/>
  <c r="AF5" i="1" s="1"/>
  <c r="N15" i="1"/>
  <c r="AH5" i="1" s="1"/>
  <c r="M15" i="1"/>
  <c r="AG5" i="1" s="1"/>
  <c r="H5" i="7" l="1"/>
  <c r="O10" i="7" s="1"/>
  <c r="B5" i="7"/>
  <c r="C5" i="7"/>
  <c r="D5" i="7"/>
  <c r="E5" i="7"/>
  <c r="L10" i="7" s="1"/>
  <c r="F5" i="7"/>
  <c r="M10" i="7" s="1"/>
  <c r="G5" i="7"/>
  <c r="N10" i="7" s="1"/>
  <c r="I5" i="7"/>
  <c r="P10" i="7" s="1"/>
  <c r="J5" i="7"/>
  <c r="Q10" i="7" s="1"/>
  <c r="K5" i="7"/>
  <c r="R10" i="7" s="1"/>
  <c r="L5" i="7"/>
  <c r="S10" i="7" s="1"/>
  <c r="M5" i="7"/>
  <c r="T10" i="7" s="1"/>
  <c r="N5" i="7"/>
  <c r="U10" i="7" s="1"/>
  <c r="O5" i="7"/>
  <c r="V10" i="7" s="1"/>
  <c r="P5" i="7"/>
  <c r="W10" i="7" s="1"/>
  <c r="Q5" i="7"/>
  <c r="X10" i="7" s="1"/>
  <c r="R5" i="7"/>
  <c r="Y10" i="7" s="1"/>
  <c r="S5" i="7"/>
  <c r="Z10" i="7" s="1"/>
  <c r="T5" i="7"/>
  <c r="AA10" i="7" s="1"/>
  <c r="U5" i="7"/>
  <c r="L11" i="7" s="1"/>
  <c r="V5" i="7"/>
  <c r="M11" i="7" s="1"/>
  <c r="W5" i="7"/>
  <c r="N11" i="7" s="1"/>
  <c r="X5" i="7"/>
  <c r="O11" i="7" s="1"/>
  <c r="Y5" i="7"/>
  <c r="P11" i="7" s="1"/>
  <c r="Z5" i="7"/>
  <c r="Q11" i="7" s="1"/>
  <c r="AA5" i="7"/>
  <c r="R11" i="7" s="1"/>
  <c r="AB5" i="7"/>
  <c r="L12" i="7" s="1"/>
  <c r="AC5" i="7"/>
  <c r="M12" i="7" s="1"/>
  <c r="AD5" i="7"/>
  <c r="L13" i="7" s="1"/>
  <c r="AE5" i="7"/>
  <c r="AF5" i="7"/>
  <c r="S11" i="7" s="1"/>
  <c r="AG5" i="7"/>
  <c r="T11" i="7" s="1"/>
  <c r="AH5" i="7"/>
  <c r="U11" i="7" s="1"/>
  <c r="AI5" i="7"/>
  <c r="AJ5" i="7"/>
  <c r="AK5" i="7"/>
  <c r="M13" i="7"/>
  <c r="J11" i="7" l="1"/>
  <c r="H11" i="7"/>
  <c r="I11" i="7"/>
  <c r="H10" i="7"/>
  <c r="H12" i="7"/>
  <c r="H14" i="7"/>
  <c r="H13" i="7"/>
  <c r="K10" i="7"/>
  <c r="J10" i="7"/>
  <c r="I10" i="7"/>
  <c r="B11" i="7" l="1"/>
  <c r="D11" i="7" s="1"/>
  <c r="B13" i="7"/>
  <c r="D13" i="7" s="1"/>
  <c r="B14" i="7"/>
  <c r="D14" i="7" s="1"/>
  <c r="B12" i="7"/>
  <c r="D12" i="7" s="1"/>
  <c r="B10" i="7"/>
  <c r="D10" i="7" s="1"/>
  <c r="E4" i="1"/>
  <c r="B3" i="1" s="1"/>
  <c r="D4" i="1"/>
  <c r="I4" i="1"/>
  <c r="H4" i="1"/>
  <c r="G4" i="1"/>
  <c r="F4" i="1"/>
  <c r="M4" i="1"/>
  <c r="L4" i="1"/>
  <c r="K4" i="1"/>
  <c r="J4" i="1"/>
  <c r="Q4" i="1"/>
  <c r="P4" i="1"/>
  <c r="O4" i="1"/>
  <c r="N4" i="1"/>
  <c r="U4" i="1"/>
  <c r="T4" i="1"/>
  <c r="S4" i="1"/>
  <c r="R4" i="1"/>
  <c r="Y4" i="1"/>
  <c r="X4" i="1"/>
  <c r="W4" i="1"/>
  <c r="V4" i="1"/>
  <c r="AC4" i="1"/>
  <c r="AB4" i="1"/>
  <c r="AA4" i="1"/>
  <c r="Z4" i="1"/>
  <c r="AG4" i="1"/>
  <c r="AF4" i="1"/>
  <c r="AE4" i="1"/>
  <c r="AD4" i="1"/>
  <c r="AJ4" i="1"/>
  <c r="AI10" i="5"/>
  <c r="AH10" i="5"/>
  <c r="AG10" i="5"/>
  <c r="AF10" i="5"/>
  <c r="AM10" i="5"/>
  <c r="AL10" i="5"/>
  <c r="AK10" i="5"/>
  <c r="AJ10" i="5"/>
  <c r="AQ10" i="5"/>
  <c r="AP10" i="5"/>
  <c r="AO10" i="5"/>
  <c r="AN10" i="5"/>
  <c r="S10" i="5"/>
  <c r="R10" i="5"/>
  <c r="Q10" i="5"/>
  <c r="P10" i="5"/>
  <c r="O10" i="5"/>
  <c r="N10" i="5"/>
  <c r="M10" i="5"/>
  <c r="L10" i="5"/>
  <c r="K10" i="5"/>
  <c r="J10" i="5"/>
  <c r="I10" i="5"/>
  <c r="H10" i="5"/>
  <c r="AE10" i="5"/>
  <c r="AD10" i="5"/>
  <c r="AC10" i="5"/>
  <c r="AB10" i="5"/>
  <c r="AA10" i="5"/>
  <c r="Z10" i="5"/>
  <c r="Y10" i="5"/>
  <c r="X10" i="5"/>
  <c r="W10" i="5"/>
  <c r="V10" i="5"/>
  <c r="U10" i="5"/>
  <c r="T10" i="5"/>
  <c r="F8" i="5"/>
  <c r="D8" i="5"/>
  <c r="D7" i="5"/>
  <c r="D6" i="5"/>
  <c r="D5" i="5"/>
  <c r="D4" i="5"/>
  <c r="N3" i="1" l="1"/>
  <c r="J3" i="1"/>
  <c r="F3" i="1"/>
  <c r="R3" i="1"/>
  <c r="AD3" i="1"/>
  <c r="Z3" i="1"/>
  <c r="V3" i="1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D19" i="2" l="1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4" i="2"/>
  <c r="K21" i="2" l="1"/>
  <c r="P21" i="2"/>
  <c r="A21" i="2"/>
  <c r="F21" i="2"/>
  <c r="AH4" i="1"/>
  <c r="AI4" i="1"/>
  <c r="AK4" i="1"/>
  <c r="AH3" i="1" l="1"/>
  <c r="I1" i="1" s="1"/>
</calcChain>
</file>

<file path=xl/sharedStrings.xml><?xml version="1.0" encoding="utf-8"?>
<sst xmlns="http://schemas.openxmlformats.org/spreadsheetml/2006/main" count="408" uniqueCount="224">
  <si>
    <t>Address</t>
  </si>
  <si>
    <t>Bit</t>
  </si>
  <si>
    <t>State</t>
  </si>
  <si>
    <t>Hex</t>
  </si>
  <si>
    <t>E</t>
  </si>
  <si>
    <t>F</t>
  </si>
  <si>
    <t>Cell</t>
  </si>
  <si>
    <t>"A"</t>
  </si>
  <si>
    <t>"B"</t>
  </si>
  <si>
    <t>"C"</t>
  </si>
  <si>
    <t>"D"</t>
  </si>
  <si>
    <t>"E"</t>
  </si>
  <si>
    <t>"F"</t>
  </si>
  <si>
    <t xml:space="preserve"> </t>
  </si>
  <si>
    <t>CELL</t>
  </si>
  <si>
    <t>AH</t>
  </si>
  <si>
    <t>AD</t>
  </si>
  <si>
    <t>Z</t>
  </si>
  <si>
    <t>V</t>
  </si>
  <si>
    <t>R</t>
  </si>
  <si>
    <t>N</t>
  </si>
  <si>
    <t>J</t>
  </si>
  <si>
    <t>AH3</t>
  </si>
  <si>
    <t>IF(AH3=0,0,IF(AH3=1,1,IF(AH3=2,0,IF(AH3=3,1,IF(AH3=4,0,IF(AH3=5,1,IF(AH3=6,0,IF(AH3=7,1,IF(AH3=8,0,IF(AH3=9,1,IF(AH3="A",0,IF(AH3="B",1,IF(AH3="C",0,IF(AH3="D",1,IF(AH3="E",0,IF(AH3="F",1,1))))))))))))))))</t>
  </si>
  <si>
    <t>IF(AH3=0,0,IF(AH3=1,0,IF(AH3=2,0,IF(AH3=3,0,IF(AH3=4,1,IF(AH3=5,1,IF(AH3=6,1,IF(AH3=7,1,IF(AH3=8,0,IF(AH3=9,0,IF(AH3="A",0,IF(AH3="B",0,IF(AH3="C",1,IF(AH3="D",1,IF(AH3="E",1,IF(AH3="F",1,1))))))))))))))))</t>
  </si>
  <si>
    <t>IF(AH3=0,0,IF(AH3=1,0,IF(AH3=2,0,IF(AH3=3,0,IF(AH3=4,0,IF(AH3=5,0,IF(AH3=6,0,IF(AH3=7,0,IF(AH3=8,1,IF(AH3=9,1,IF(AH3="A",1,IF(AH3="B",1,IF(AH3="C",1,IF(AH3="D",1,IF(AH3="E",1,IF(AH3="F",1,1))))))))))))))))</t>
  </si>
  <si>
    <t>ROW</t>
  </si>
  <si>
    <t>COL</t>
  </si>
  <si>
    <t>BANK</t>
  </si>
  <si>
    <t>GROUP</t>
  </si>
  <si>
    <t>BURST</t>
  </si>
  <si>
    <t>OFFSET</t>
  </si>
  <si>
    <t>D</t>
  </si>
  <si>
    <t>ENTER ADDRESS HERE</t>
  </si>
  <si>
    <t>BIT</t>
  </si>
  <si>
    <t>VAL</t>
  </si>
  <si>
    <t>Address Cell</t>
  </si>
  <si>
    <t>ADDRESS RESULT HERE</t>
  </si>
  <si>
    <t>AK</t>
  </si>
  <si>
    <t>AJ</t>
  </si>
  <si>
    <t>AI</t>
  </si>
  <si>
    <t>B</t>
  </si>
  <si>
    <t>C</t>
  </si>
  <si>
    <t>G</t>
  </si>
  <si>
    <t>H</t>
  </si>
  <si>
    <t>I</t>
  </si>
  <si>
    <t>K</t>
  </si>
  <si>
    <t>L</t>
  </si>
  <si>
    <t>M</t>
  </si>
  <si>
    <t>O</t>
  </si>
  <si>
    <t>P</t>
  </si>
  <si>
    <t>Q</t>
  </si>
  <si>
    <t>S</t>
  </si>
  <si>
    <t>T</t>
  </si>
  <si>
    <t>U</t>
  </si>
  <si>
    <t>W</t>
  </si>
  <si>
    <t>X</t>
  </si>
  <si>
    <t>Y</t>
  </si>
  <si>
    <t>AA</t>
  </si>
  <si>
    <t>AB</t>
  </si>
  <si>
    <t>AC</t>
  </si>
  <si>
    <t>AE</t>
  </si>
  <si>
    <t>AF</t>
  </si>
  <si>
    <t>AG</t>
  </si>
  <si>
    <t>=IF(B5=1,8,0)</t>
  </si>
  <si>
    <t>=IF(C5=1,4,0)</t>
  </si>
  <si>
    <t>=IF(D5=1,2,0)</t>
  </si>
  <si>
    <t>=IF(E5=1,1,0)</t>
  </si>
  <si>
    <t>=IF(F5=1,8,0)</t>
  </si>
  <si>
    <t>=IF(G5=1,4,0)</t>
  </si>
  <si>
    <t>=IF(H5=1,2,0)</t>
  </si>
  <si>
    <t>=IF(I5=1,1,0)</t>
  </si>
  <si>
    <t>=IF(J5=1,8,0)</t>
  </si>
  <si>
    <t>=IF(K5=1,4,0)</t>
  </si>
  <si>
    <t>=IF(L5=1,2,0)</t>
  </si>
  <si>
    <t>=IF(M5=1,1,0)</t>
  </si>
  <si>
    <t>=IF(N5=1,8,0</t>
  </si>
  <si>
    <t>=IF(O5=1,4,0</t>
  </si>
  <si>
    <t>=IF(P5=1,2,0</t>
  </si>
  <si>
    <t>=IF(Q5=1,1,0</t>
  </si>
  <si>
    <t>=IF(R5=1,8,0</t>
  </si>
  <si>
    <t>=IF(S5=1,4,0</t>
  </si>
  <si>
    <t>=IF(T5=1,2,0</t>
  </si>
  <si>
    <t>=IF(U5=1,1,0</t>
  </si>
  <si>
    <t>=IF(V5=1,8,0</t>
  </si>
  <si>
    <t>=IF(W5=1,4,0</t>
  </si>
  <si>
    <t>=IF(X5=1,2,0</t>
  </si>
  <si>
    <t>=IF(Y5=1,1,0</t>
  </si>
  <si>
    <t>=IF(Z5=1,8,0)</t>
  </si>
  <si>
    <t>=IF(AA5=1,4,0)</t>
  </si>
  <si>
    <t>=IF(AB5=1,2,0)</t>
  </si>
  <si>
    <t>=IF(AC5=1,1,0)</t>
  </si>
  <si>
    <t>=IF(AD5=1,8,0)</t>
  </si>
  <si>
    <t>=IF(AE5=1,4,0)</t>
  </si>
  <si>
    <t>=IF(AF5=1,2,0)</t>
  </si>
  <si>
    <t>=IF(AG5=1,1,0)</t>
  </si>
  <si>
    <t>=IF(AH5=1,8,0)</t>
  </si>
  <si>
    <t>=IF(AI5=1,4,0)</t>
  </si>
  <si>
    <t>=IF(AJ5=1,2,0)</t>
  </si>
  <si>
    <t>=IF(AK5=1,1,0)</t>
  </si>
  <si>
    <t>Value</t>
  </si>
  <si>
    <t>DECIMAL TO BINARY CONVERSION</t>
  </si>
  <si>
    <t>MAX</t>
  </si>
  <si>
    <t>Enter the Information here to get your address.</t>
  </si>
  <si>
    <t>Get your results here.</t>
  </si>
  <si>
    <t>HEX</t>
  </si>
  <si>
    <t>DEC</t>
  </si>
  <si>
    <t>TIME</t>
  </si>
  <si>
    <t>ADDRESS</t>
  </si>
  <si>
    <t>COMMAND</t>
  </si>
  <si>
    <t>ctr+q for macro</t>
  </si>
  <si>
    <t>READ</t>
  </si>
  <si>
    <t>0x000000000</t>
  </si>
  <si>
    <t>0x000000040</t>
  </si>
  <si>
    <t>0x000000080</t>
  </si>
  <si>
    <t>0x0000000C0</t>
  </si>
  <si>
    <t>0x000000100</t>
  </si>
  <si>
    <t>0x000000140</t>
  </si>
  <si>
    <t>0x000000180</t>
  </si>
  <si>
    <t>0x0000001C0</t>
  </si>
  <si>
    <t>0x000000200</t>
  </si>
  <si>
    <t>0x000000240</t>
  </si>
  <si>
    <t>0x000000280</t>
  </si>
  <si>
    <t>0x0000002C0</t>
  </si>
  <si>
    <t>0x000000300</t>
  </si>
  <si>
    <t>0x000000340</t>
  </si>
  <si>
    <t>0x000000380</t>
  </si>
  <si>
    <t>0x0000003C0</t>
  </si>
  <si>
    <t>0x000000400</t>
  </si>
  <si>
    <t>0x000000440</t>
  </si>
  <si>
    <t>0x000000480</t>
  </si>
  <si>
    <t>0x0000004C0</t>
  </si>
  <si>
    <t>0x000000500</t>
  </si>
  <si>
    <t>0x000000540</t>
  </si>
  <si>
    <t>0x000000580</t>
  </si>
  <si>
    <t>0x0000005C0</t>
  </si>
  <si>
    <t>0x000000600</t>
  </si>
  <si>
    <t>0x000000640</t>
  </si>
  <si>
    <t>0x000000680</t>
  </si>
  <si>
    <t>0x0000006C0</t>
  </si>
  <si>
    <t>0x000000700</t>
  </si>
  <si>
    <t>0x000000740</t>
  </si>
  <si>
    <t>0x000000780</t>
  </si>
  <si>
    <t>0x0000007C0</t>
  </si>
  <si>
    <t>0x000000800</t>
  </si>
  <si>
    <t>0x000000840</t>
  </si>
  <si>
    <t>0x000000880</t>
  </si>
  <si>
    <t>0x0000008C0</t>
  </si>
  <si>
    <t>0x000000900</t>
  </si>
  <si>
    <t>0x000000940</t>
  </si>
  <si>
    <t>0x000000980</t>
  </si>
  <si>
    <t>0x0000009C0</t>
  </si>
  <si>
    <t>0x000000A00</t>
  </si>
  <si>
    <t>0x000000A40</t>
  </si>
  <si>
    <t>0x000000A80</t>
  </si>
  <si>
    <t>0x000000AC0</t>
  </si>
  <si>
    <t>0x000000B00</t>
  </si>
  <si>
    <t>0x000000B40</t>
  </si>
  <si>
    <t>0x000000B80</t>
  </si>
  <si>
    <t>0x000000BC0</t>
  </si>
  <si>
    <t>0x000000C00</t>
  </si>
  <si>
    <t>0x000000C40</t>
  </si>
  <si>
    <t>0x000000C80</t>
  </si>
  <si>
    <t>0x000000CC0</t>
  </si>
  <si>
    <t>0x000000D00</t>
  </si>
  <si>
    <t>0x000000D40</t>
  </si>
  <si>
    <t>0x000000D80</t>
  </si>
  <si>
    <t>0x000000DC0</t>
  </si>
  <si>
    <t>0x000000E00</t>
  </si>
  <si>
    <t>0x000000E40</t>
  </si>
  <si>
    <t>0x000000E80</t>
  </si>
  <si>
    <t>0x000000EC0</t>
  </si>
  <si>
    <t>0x000000F00</t>
  </si>
  <si>
    <t>0x000000F40</t>
  </si>
  <si>
    <t>0x000000F80</t>
  </si>
  <si>
    <t>0x000000FC0</t>
  </si>
  <si>
    <t>0x000021000</t>
  </si>
  <si>
    <t>0x000021040</t>
  </si>
  <si>
    <t>0x000021080</t>
  </si>
  <si>
    <t>0x0000210C0</t>
  </si>
  <si>
    <t>0x000021100</t>
  </si>
  <si>
    <t>0x000021140</t>
  </si>
  <si>
    <t>0x000021180</t>
  </si>
  <si>
    <t>0x0000211C0</t>
  </si>
  <si>
    <t>0x000021200</t>
  </si>
  <si>
    <t>0x000021240</t>
  </si>
  <si>
    <t>0x000021280</t>
  </si>
  <si>
    <t>0x0000212C0</t>
  </si>
  <si>
    <t>0x000021300</t>
  </si>
  <si>
    <t>0x000021340</t>
  </si>
  <si>
    <t>0x000021380</t>
  </si>
  <si>
    <t>0x0000213C0</t>
  </si>
  <si>
    <t>0x000021400</t>
  </si>
  <si>
    <t>0x000021440</t>
  </si>
  <si>
    <t>0x000021480</t>
  </si>
  <si>
    <t>0x0000214C0</t>
  </si>
  <si>
    <t>0x000021500</t>
  </si>
  <si>
    <t>0x000021540</t>
  </si>
  <si>
    <t>0x000021580</t>
  </si>
  <si>
    <t>0x0000215C0</t>
  </si>
  <si>
    <t>0x000021600</t>
  </si>
  <si>
    <t>0x000021640</t>
  </si>
  <si>
    <t>0x000021680</t>
  </si>
  <si>
    <t>0x0000216C0</t>
  </si>
  <si>
    <t>0x000021700</t>
  </si>
  <si>
    <t>0x000021740</t>
  </si>
  <si>
    <t>0x000021780</t>
  </si>
  <si>
    <t>0x0000217C0</t>
  </si>
  <si>
    <t>0x000021800</t>
  </si>
  <si>
    <t>0x000021840</t>
  </si>
  <si>
    <t>0x000021880</t>
  </si>
  <si>
    <t>0x0000218C0</t>
  </si>
  <si>
    <t>0x000021900</t>
  </si>
  <si>
    <t>0x000021940</t>
  </si>
  <si>
    <t>0x000021980</t>
  </si>
  <si>
    <t>0x0000219C0</t>
  </si>
  <si>
    <t>0x000021A00</t>
  </si>
  <si>
    <t>0x000021A40</t>
  </si>
  <si>
    <t>0x000021A80</t>
  </si>
  <si>
    <t>0x000021AC0</t>
  </si>
  <si>
    <t>0x000021B00</t>
  </si>
  <si>
    <t>0x000021B40</t>
  </si>
  <si>
    <t>0x000021B80</t>
  </si>
  <si>
    <t>0x000021BC0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</si>
</sst>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0" fillId="6" borderId="0" xfId="0" applyFill="1"/>
    <xf numFmtId="0" fontId="1" fillId="9" borderId="0" xfId="0" applyFont="1" applyFill="1" applyAlignment="1">
      <alignment horizontal="left"/>
    </xf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13" borderId="2" xfId="0" applyFont="1" applyFill="1" applyBorder="1" applyAlignment="1" applyProtection="1">
      <alignment horizontal="center"/>
    </xf>
    <xf numFmtId="0" fontId="1" fillId="13" borderId="5" xfId="0" applyNumberFormat="1" applyFont="1" applyFill="1" applyBorder="1" applyAlignment="1" applyProtection="1">
      <alignment horizontal="center"/>
    </xf>
    <xf numFmtId="0" fontId="1" fillId="13" borderId="3" xfId="0" applyFont="1" applyFill="1" applyBorder="1" applyAlignment="1" applyProtection="1">
      <alignment horizontal="center"/>
    </xf>
    <xf numFmtId="0" fontId="1" fillId="13" borderId="10" xfId="0" applyNumberFormat="1" applyFont="1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center"/>
    </xf>
    <xf numFmtId="0" fontId="0" fillId="2" borderId="12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0" fillId="0" borderId="14" xfId="0" applyNumberFormat="1" applyBorder="1" applyAlignment="1" applyProtection="1">
      <alignment horizontal="center"/>
    </xf>
    <xf numFmtId="0" fontId="0" fillId="0" borderId="15" xfId="0" applyNumberFormat="1" applyBorder="1" applyAlignment="1" applyProtection="1">
      <alignment horizontal="center"/>
    </xf>
    <xf numFmtId="0" fontId="0" fillId="0" borderId="16" xfId="0" applyNumberFormat="1" applyBorder="1" applyAlignment="1" applyProtection="1">
      <alignment horizontal="center"/>
    </xf>
    <xf numFmtId="0" fontId="0" fillId="12" borderId="0" xfId="0" applyFill="1" applyAlignment="1" applyProtection="1">
      <alignment horizontal="center"/>
    </xf>
    <xf numFmtId="0" fontId="0" fillId="12" borderId="17" xfId="0" applyFill="1" applyBorder="1" applyAlignment="1" applyProtection="1">
      <alignment horizontal="center"/>
    </xf>
    <xf numFmtId="0" fontId="0" fillId="12" borderId="18" xfId="0" applyFill="1" applyBorder="1" applyAlignment="1" applyProtection="1">
      <alignment horizontal="center"/>
    </xf>
    <xf numFmtId="0" fontId="0" fillId="12" borderId="9" xfId="0" applyFill="1" applyBorder="1" applyAlignment="1" applyProtection="1">
      <alignment horizontal="center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0" fillId="12" borderId="10" xfId="0" applyFill="1" applyBorder="1" applyAlignment="1" applyProtection="1">
      <alignment horizontal="center"/>
    </xf>
    <xf numFmtId="0" fontId="0" fillId="12" borderId="21" xfId="0" applyFill="1" applyBorder="1" applyAlignment="1" applyProtection="1">
      <alignment horizontal="center"/>
    </xf>
    <xf numFmtId="0" fontId="0" fillId="12" borderId="22" xfId="0" applyFill="1" applyBorder="1" applyAlignment="1" applyProtection="1">
      <alignment horizontal="center"/>
    </xf>
    <xf numFmtId="0" fontId="3" fillId="6" borderId="23" xfId="0" applyFont="1" applyFill="1" applyBorder="1" applyAlignment="1" applyProtection="1">
      <alignment vertical="center"/>
      <protection locked="0"/>
    </xf>
    <xf numFmtId="0" fontId="3" fillId="6" borderId="26" xfId="0" applyFont="1" applyFill="1" applyBorder="1" applyAlignment="1" applyProtection="1">
      <alignment vertical="center"/>
      <protection locked="0"/>
    </xf>
    <xf numFmtId="0" fontId="3" fillId="6" borderId="29" xfId="0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left"/>
    </xf>
    <xf numFmtId="0" fontId="0" fillId="11" borderId="0" xfId="0" applyFill="1" applyAlignment="1" applyProtection="1">
      <alignment horizontal="left"/>
    </xf>
    <xf numFmtId="0" fontId="0" fillId="10" borderId="0" xfId="0" applyFill="1" applyAlignment="1" applyProtection="1">
      <alignment horizontal="left"/>
    </xf>
    <xf numFmtId="0" fontId="0" fillId="7" borderId="0" xfId="0" applyFill="1" applyAlignment="1" applyProtection="1">
      <alignment horizontal="left"/>
    </xf>
    <xf numFmtId="0" fontId="0" fillId="5" borderId="0" xfId="0" applyFill="1" applyBorder="1" applyAlignment="1" applyProtection="1">
      <alignment horizontal="left"/>
    </xf>
    <xf numFmtId="0" fontId="0" fillId="4" borderId="0" xfId="0" applyFill="1" applyBorder="1" applyAlignment="1" applyProtection="1">
      <alignment horizontal="left"/>
    </xf>
    <xf numFmtId="0" fontId="0" fillId="8" borderId="0" xfId="0" applyFill="1" applyBorder="1" applyAlignment="1" applyProtection="1">
      <alignment horizontal="left"/>
    </xf>
    <xf numFmtId="0" fontId="0" fillId="8" borderId="0" xfId="0" applyFill="1" applyBorder="1" applyAlignment="1" applyProtection="1"/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 vertical="top"/>
    </xf>
    <xf numFmtId="0" fontId="0" fillId="0" borderId="0" xfId="0" applyProtection="1"/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36" xfId="0" applyBorder="1"/>
    <xf numFmtId="0" fontId="0" fillId="0" borderId="36" xfId="0" applyBorder="1" applyAlignment="1">
      <alignment horizontal="center"/>
    </xf>
    <xf numFmtId="0" fontId="0" fillId="0" borderId="35" xfId="0" applyBorder="1"/>
    <xf numFmtId="0" fontId="0" fillId="12" borderId="37" xfId="0" applyFill="1" applyBorder="1" applyAlignment="1" applyProtection="1">
      <alignment horizontal="center"/>
    </xf>
    <xf numFmtId="0" fontId="0" fillId="12" borderId="38" xfId="0" applyFill="1" applyBorder="1" applyAlignment="1" applyProtection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15" borderId="0" xfId="0" applyFill="1" applyAlignment="1" applyProtection="1">
      <alignment horizontal="center"/>
    </xf>
    <xf numFmtId="0" fontId="0" fillId="15" borderId="0" xfId="0" applyFill="1" applyAlignment="1" applyProtection="1"/>
    <xf numFmtId="0" fontId="0" fillId="0" borderId="0" xfId="0" applyAlignment="1" applyProtection="1"/>
    <xf numFmtId="0" fontId="6" fillId="6" borderId="33" xfId="0" applyFont="1" applyFill="1" applyBorder="1" applyAlignment="1" applyProtection="1">
      <alignment vertical="center"/>
    </xf>
    <xf numFmtId="0" fontId="6" fillId="6" borderId="34" xfId="0" applyFont="1" applyFill="1" applyBorder="1" applyAlignment="1" applyProtection="1">
      <alignment vertical="center"/>
    </xf>
    <xf numFmtId="0" fontId="9" fillId="0" borderId="6" xfId="0" applyFont="1" applyBorder="1" applyAlignment="1" applyProtection="1">
      <alignment vertical="center"/>
    </xf>
    <xf numFmtId="0" fontId="0" fillId="12" borderId="35" xfId="0" applyFill="1" applyBorder="1" applyProtection="1"/>
    <xf numFmtId="0" fontId="0" fillId="0" borderId="4" xfId="0" applyBorder="1" applyProtection="1"/>
    <xf numFmtId="0" fontId="0" fillId="2" borderId="1" xfId="0" applyFill="1" applyBorder="1" applyProtection="1"/>
    <xf numFmtId="0" fontId="0" fillId="0" borderId="0" xfId="0" applyAlignment="1" applyProtection="1">
      <alignment horizontal="left"/>
    </xf>
    <xf numFmtId="0" fontId="6" fillId="6" borderId="35" xfId="0" applyFont="1" applyFill="1" applyBorder="1" applyAlignment="1" applyProtection="1">
      <alignment vertical="center"/>
    </xf>
    <xf numFmtId="0" fontId="6" fillId="6" borderId="0" xfId="0" applyFont="1" applyFill="1" applyBorder="1" applyAlignment="1" applyProtection="1">
      <alignment vertical="center"/>
    </xf>
    <xf numFmtId="0" fontId="6" fillId="6" borderId="36" xfId="0" applyFont="1" applyFill="1" applyBorder="1" applyAlignment="1" applyProtection="1">
      <alignment vertical="center"/>
    </xf>
    <xf numFmtId="0" fontId="0" fillId="6" borderId="0" xfId="0" applyFill="1" applyProtection="1">
      <protection locked="0"/>
    </xf>
    <xf numFmtId="0" fontId="8" fillId="6" borderId="6" xfId="0" applyFont="1" applyFill="1" applyBorder="1" applyAlignment="1" applyProtection="1">
      <alignment vertical="center"/>
      <protection locked="0"/>
    </xf>
    <xf numFmtId="0" fontId="3" fillId="6" borderId="23" xfId="0" applyFont="1" applyFill="1" applyBorder="1" applyAlignment="1" applyProtection="1">
      <alignment vertical="center"/>
    </xf>
    <xf numFmtId="0" fontId="3" fillId="6" borderId="26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7" borderId="48" xfId="0" applyFill="1" applyBorder="1" applyAlignment="1">
      <alignment horizontal="center"/>
    </xf>
    <xf numFmtId="0" fontId="0" fillId="16" borderId="49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16" borderId="49" xfId="0" applyFill="1" applyBorder="1"/>
    <xf numFmtId="0" fontId="7" fillId="6" borderId="0" xfId="0" applyFont="1" applyFill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8" fillId="6" borderId="6" xfId="0" applyNumberFormat="1" applyFont="1" applyFill="1" applyBorder="1" applyAlignment="1" applyProtection="1">
      <alignment horizontal="center" vertical="center"/>
      <protection locked="0"/>
    </xf>
    <xf numFmtId="0" fontId="8" fillId="6" borderId="7" xfId="0" applyNumberFormat="1" applyFont="1" applyFill="1" applyBorder="1" applyAlignment="1" applyProtection="1">
      <alignment horizontal="center" vertical="center"/>
      <protection locked="0"/>
    </xf>
    <xf numFmtId="0" fontId="8" fillId="6" borderId="8" xfId="0" applyNumberFormat="1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</xf>
    <xf numFmtId="0" fontId="4" fillId="2" borderId="45" xfId="0" applyFont="1" applyFill="1" applyBorder="1" applyAlignment="1" applyProtection="1">
      <alignment horizontal="center" vertical="center"/>
    </xf>
    <xf numFmtId="0" fontId="4" fillId="2" borderId="46" xfId="0" applyFont="1" applyFill="1" applyBorder="1" applyAlignment="1" applyProtection="1">
      <alignment horizontal="center" vertical="center"/>
    </xf>
    <xf numFmtId="0" fontId="4" fillId="2" borderId="47" xfId="0" applyFont="1" applyFill="1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" fillId="2" borderId="42" xfId="0" applyFont="1" applyFill="1" applyBorder="1" applyAlignment="1" applyProtection="1">
      <alignment horizontal="center" vertical="center"/>
    </xf>
    <xf numFmtId="0" fontId="4" fillId="2" borderId="43" xfId="0" applyFont="1" applyFill="1" applyBorder="1" applyAlignment="1" applyProtection="1">
      <alignment horizontal="center" vertical="center"/>
    </xf>
    <xf numFmtId="0" fontId="4" fillId="6" borderId="24" xfId="0" applyFont="1" applyFill="1" applyBorder="1" applyAlignment="1" applyProtection="1">
      <alignment horizontal="center" vertical="center"/>
    </xf>
    <xf numFmtId="0" fontId="4" fillId="6" borderId="25" xfId="0" applyFont="1" applyFill="1" applyBorder="1" applyAlignment="1" applyProtection="1">
      <alignment horizontal="center" vertical="center"/>
    </xf>
    <xf numFmtId="0" fontId="4" fillId="6" borderId="27" xfId="0" applyFont="1" applyFill="1" applyBorder="1" applyAlignment="1" applyProtection="1">
      <alignment horizontal="center" vertical="center"/>
    </xf>
    <xf numFmtId="0" fontId="4" fillId="6" borderId="28" xfId="0" applyFont="1" applyFill="1" applyBorder="1" applyAlignment="1" applyProtection="1">
      <alignment horizontal="center" vertical="center"/>
    </xf>
    <xf numFmtId="0" fontId="4" fillId="6" borderId="30" xfId="0" applyFont="1" applyFill="1" applyBorder="1" applyAlignment="1" applyProtection="1">
      <alignment horizontal="center" vertical="center"/>
    </xf>
    <xf numFmtId="0" fontId="4" fillId="6" borderId="31" xfId="0" applyFont="1" applyFill="1" applyBorder="1" applyAlignment="1" applyProtection="1">
      <alignment horizontal="center" vertical="center"/>
    </xf>
    <xf numFmtId="0" fontId="9" fillId="6" borderId="6" xfId="0" applyNumberFormat="1" applyFont="1" applyFill="1" applyBorder="1" applyAlignment="1" applyProtection="1">
      <alignment horizontal="center" vertical="center"/>
    </xf>
    <xf numFmtId="0" fontId="9" fillId="6" borderId="7" xfId="0" applyNumberFormat="1" applyFont="1" applyFill="1" applyBorder="1" applyAlignment="1" applyProtection="1">
      <alignment horizontal="center" vertical="center"/>
    </xf>
    <xf numFmtId="0" fontId="9" fillId="6" borderId="8" xfId="0" applyNumberFormat="1" applyFont="1" applyFill="1" applyBorder="1" applyAlignment="1" applyProtection="1">
      <alignment horizontal="center" vertical="center"/>
    </xf>
    <xf numFmtId="0" fontId="6" fillId="6" borderId="32" xfId="0" applyFont="1" applyFill="1" applyBorder="1" applyAlignment="1" applyProtection="1">
      <alignment horizontal="center" vertical="center"/>
    </xf>
    <xf numFmtId="0" fontId="6" fillId="6" borderId="33" xfId="0" applyFont="1" applyFill="1" applyBorder="1" applyAlignment="1" applyProtection="1">
      <alignment horizontal="center" vertical="center"/>
    </xf>
    <xf numFmtId="0" fontId="6" fillId="6" borderId="1" xfId="0" applyFont="1" applyFill="1" applyBorder="1" applyAlignment="1" applyProtection="1">
      <alignment horizontal="center" vertical="center"/>
    </xf>
    <xf numFmtId="0" fontId="6" fillId="6" borderId="40" xfId="0" applyFont="1" applyFill="1" applyBorder="1" applyAlignment="1" applyProtection="1">
      <alignment horizontal="center" vertical="center"/>
    </xf>
    <xf numFmtId="0" fontId="6" fillId="6" borderId="41" xfId="0" applyFont="1" applyFill="1" applyBorder="1" applyAlignment="1" applyProtection="1">
      <alignment horizontal="center" vertical="center"/>
    </xf>
    <xf numFmtId="0" fontId="4" fillId="6" borderId="30" xfId="0" applyFont="1" applyFill="1" applyBorder="1" applyAlignment="1" applyProtection="1">
      <alignment horizontal="center" vertical="center"/>
      <protection locked="0"/>
    </xf>
    <xf numFmtId="0" fontId="4" fillId="6" borderId="31" xfId="0" applyFont="1" applyFill="1" applyBorder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 wrapText="1"/>
    </xf>
    <xf numFmtId="0" fontId="0" fillId="12" borderId="20" xfId="0" applyFill="1" applyBorder="1" applyAlignment="1" applyProtection="1">
      <alignment horizontal="center" vertical="center" wrapText="1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0" xfId="0" applyFill="1" applyAlignment="1" applyProtection="1">
      <alignment horizontal="center" vertical="center"/>
      <protection locked="0"/>
    </xf>
    <xf numFmtId="0" fontId="4" fillId="6" borderId="24" xfId="0" applyFont="1" applyFill="1" applyBorder="1" applyAlignment="1" applyProtection="1">
      <alignment horizontal="center" vertical="center"/>
      <protection locked="0"/>
    </xf>
    <xf numFmtId="0" fontId="4" fillId="6" borderId="25" xfId="0" applyFont="1" applyFill="1" applyBorder="1" applyAlignment="1" applyProtection="1">
      <alignment horizontal="center" vertical="center"/>
      <protection locked="0"/>
    </xf>
    <xf numFmtId="0" fontId="4" fillId="6" borderId="27" xfId="0" applyFont="1" applyFill="1" applyBorder="1" applyAlignment="1" applyProtection="1">
      <alignment horizontal="center" vertical="center"/>
      <protection locked="0"/>
    </xf>
    <xf numFmtId="0" fontId="4" fillId="6" borderId="28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163064</xdr:colOff>
      <xdr:row>14</xdr:row>
      <xdr:rowOff>70144</xdr:rowOff>
    </xdr:from>
    <xdr:to>
      <xdr:col>1</xdr:col>
      <xdr:colOff>163064</xdr:colOff>
      <xdr:row>16</xdr:row>
      <xdr:rowOff>184443</xdr:rowOff>
    </xdr:to>
    <xdr:cxnSp macro="">
      <xdr:nvCxnSpPr>
        <xdr:cNvPr id="2" name="Straight Arrow Connector 1"/>
        <xdr:cNvCxnSpPr/>
      </xdr:nvCxnSpPr>
      <xdr:spPr>
        <a:xfrm flipV="1">
          <a:off x="1220339" y="3642019"/>
          <a:ext cx="0" cy="495299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163064</xdr:colOff>
      <xdr:row>15</xdr:row>
      <xdr:rowOff>70144</xdr:rowOff>
    </xdr:from>
    <xdr:to>
      <xdr:col>1</xdr:col>
      <xdr:colOff>163064</xdr:colOff>
      <xdr:row>17</xdr:row>
      <xdr:rowOff>184443</xdr:rowOff>
    </xdr:to>
    <xdr:cxnSp macro="">
      <xdr:nvCxnSpPr>
        <xdr:cNvPr id="5" name="Straight Arrow Connector 4"/>
        <xdr:cNvCxnSpPr/>
      </xdr:nvCxnSpPr>
      <xdr:spPr>
        <a:xfrm flipV="1">
          <a:off x="1223238" y="3863579"/>
          <a:ext cx="0" cy="495299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113"/>
  <sheetViews>
    <sheetView workbookViewId="0">
      <selection activeCell="F9" sqref="F9"/>
    </sheetView>
  </sheetViews>
  <sheetFormatPr defaultRowHeight="15" x14ac:dyDescent="0.25"/>
  <cols>
    <col min="2" max="6" width="9.140625" style="80"/>
    <col min="7" max="7" width="9.140625" style="83"/>
    <col min="8" max="8" width="11" style="84" bestFit="1" customWidth="1"/>
    <col min="9" max="9" width="18.42578125" style="85" customWidth="1"/>
    <col min="12" max="12" width="13.7109375" customWidth="1"/>
  </cols>
  <sheetData>
    <row r="1" spans="2:12" x14ac:dyDescent="0.25">
      <c r="B1" s="80" t="s">
        <v>29</v>
      </c>
      <c r="C1" s="80" t="s">
        <v>28</v>
      </c>
      <c r="D1" s="80" t="s">
        <v>26</v>
      </c>
      <c r="E1" s="80" t="s">
        <v>27</v>
      </c>
      <c r="F1" s="80" t="s">
        <v>30</v>
      </c>
      <c r="G1" s="83" t="s">
        <v>107</v>
      </c>
      <c r="H1" s="84" t="s">
        <v>109</v>
      </c>
      <c r="I1" s="81" t="s">
        <v>108</v>
      </c>
      <c r="L1" s="82" t="s">
        <v>110</v>
      </c>
    </row>
    <row r="2" spans="2:12" x14ac:dyDescent="0.25">
      <c r="B2" s="80">
        <v>0</v>
      </c>
      <c r="C2" s="80">
        <v>0</v>
      </c>
      <c r="D2" s="80">
        <v>0</v>
      </c>
      <c r="E2" s="80">
        <v>0</v>
      </c>
      <c r="F2" s="80">
        <v>0</v>
      </c>
      <c r="G2" s="83">
        <v>1</v>
      </c>
      <c r="H2" s="84" t="s">
        <v>111</v>
      </c>
      <c r="I2" s="85" t="s">
        <v>112</v>
      </c>
    </row>
    <row r="3" spans="2:12" x14ac:dyDescent="0.25">
      <c r="B3" s="80">
        <v>1</v>
      </c>
      <c r="C3" s="80">
        <v>0</v>
      </c>
      <c r="D3" s="80">
        <v>0</v>
      </c>
      <c r="E3" s="80">
        <v>0</v>
      </c>
      <c r="F3" s="80">
        <v>0</v>
      </c>
      <c r="G3" s="83">
        <v>2</v>
      </c>
      <c r="H3" s="84" t="s">
        <v>111</v>
      </c>
      <c r="I3" s="85" t="s">
        <v>113</v>
      </c>
    </row>
    <row r="4" spans="2:12" x14ac:dyDescent="0.25">
      <c r="B4" s="80">
        <v>2</v>
      </c>
      <c r="C4" s="80">
        <v>0</v>
      </c>
      <c r="D4" s="80">
        <v>0</v>
      </c>
      <c r="E4" s="80">
        <v>0</v>
      </c>
      <c r="F4" s="80">
        <v>0</v>
      </c>
      <c r="G4" s="83">
        <v>3</v>
      </c>
      <c r="H4" s="84" t="s">
        <v>111</v>
      </c>
      <c r="I4" s="85" t="s">
        <v>114</v>
      </c>
    </row>
    <row r="5" spans="2:12" x14ac:dyDescent="0.25">
      <c r="B5" s="80">
        <v>3</v>
      </c>
      <c r="C5" s="80">
        <v>0</v>
      </c>
      <c r="D5" s="80">
        <v>0</v>
      </c>
      <c r="E5" s="80">
        <v>0</v>
      </c>
      <c r="F5" s="80">
        <v>0</v>
      </c>
      <c r="G5" s="83">
        <v>4</v>
      </c>
      <c r="H5" s="84" t="s">
        <v>111</v>
      </c>
      <c r="I5" s="85" t="s">
        <v>115</v>
      </c>
    </row>
    <row r="6" spans="2:12" x14ac:dyDescent="0.25">
      <c r="B6" s="80">
        <v>0</v>
      </c>
      <c r="C6" s="80">
        <v>1</v>
      </c>
      <c r="D6" s="80">
        <v>0</v>
      </c>
      <c r="E6" s="80">
        <v>0</v>
      </c>
      <c r="F6" s="80">
        <v>0</v>
      </c>
      <c r="G6" s="83">
        <v>5</v>
      </c>
      <c r="H6" s="84" t="s">
        <v>111</v>
      </c>
      <c r="I6" s="85" t="s">
        <v>116</v>
      </c>
    </row>
    <row r="7" spans="2:12" x14ac:dyDescent="0.25">
      <c r="B7" s="80">
        <v>1</v>
      </c>
      <c r="C7" s="80">
        <v>1</v>
      </c>
      <c r="D7" s="80">
        <v>0</v>
      </c>
      <c r="E7" s="80">
        <v>0</v>
      </c>
      <c r="F7" s="80">
        <v>0</v>
      </c>
      <c r="G7" s="83">
        <v>6</v>
      </c>
      <c r="H7" s="84" t="s">
        <v>111</v>
      </c>
      <c r="I7" s="85" t="s">
        <v>117</v>
      </c>
    </row>
    <row r="8" spans="2:12" x14ac:dyDescent="0.25">
      <c r="B8" s="80">
        <v>2</v>
      </c>
      <c r="C8" s="80">
        <v>1</v>
      </c>
      <c r="D8" s="80">
        <v>0</v>
      </c>
      <c r="E8" s="80">
        <v>0</v>
      </c>
      <c r="F8" s="80">
        <v>0</v>
      </c>
      <c r="G8" s="83">
        <v>7</v>
      </c>
      <c r="H8" s="84" t="s">
        <v>111</v>
      </c>
      <c r="I8" s="85" t="s">
        <v>118</v>
      </c>
    </row>
    <row r="9" spans="2:12" x14ac:dyDescent="0.25">
      <c r="B9" s="80">
        <v>3</v>
      </c>
      <c r="C9" s="80">
        <v>1</v>
      </c>
      <c r="D9" s="80">
        <v>0</v>
      </c>
      <c r="E9" s="80">
        <v>0</v>
      </c>
      <c r="F9" s="80">
        <v>0</v>
      </c>
      <c r="G9" s="83">
        <v>8</v>
      </c>
      <c r="H9" s="84" t="s">
        <v>111</v>
      </c>
      <c r="I9" s="85" t="s">
        <v>119</v>
      </c>
    </row>
    <row r="10" spans="2:12" x14ac:dyDescent="0.25">
      <c r="B10" s="80">
        <v>0</v>
      </c>
      <c r="C10" s="80">
        <v>2</v>
      </c>
      <c r="D10" s="80">
        <v>0</v>
      </c>
      <c r="E10" s="80">
        <v>0</v>
      </c>
      <c r="F10" s="80">
        <v>0</v>
      </c>
      <c r="G10" s="83">
        <v>9</v>
      </c>
      <c r="H10" s="84" t="s">
        <v>111</v>
      </c>
      <c r="I10" s="85" t="s">
        <v>120</v>
      </c>
    </row>
    <row r="11" spans="2:12" x14ac:dyDescent="0.25">
      <c r="B11" s="80">
        <v>1</v>
      </c>
      <c r="C11" s="80">
        <v>2</v>
      </c>
      <c r="D11" s="80">
        <v>0</v>
      </c>
      <c r="E11" s="80">
        <v>0</v>
      </c>
      <c r="F11" s="80">
        <v>0</v>
      </c>
      <c r="G11" s="83">
        <v>10</v>
      </c>
      <c r="H11" s="84" t="s">
        <v>111</v>
      </c>
      <c r="I11" s="85" t="s">
        <v>121</v>
      </c>
    </row>
    <row r="12" spans="2:12" x14ac:dyDescent="0.25">
      <c r="B12" s="80">
        <v>2</v>
      </c>
      <c r="C12" s="80">
        <v>2</v>
      </c>
      <c r="D12" s="80">
        <v>0</v>
      </c>
      <c r="E12" s="80">
        <v>0</v>
      </c>
      <c r="F12" s="80">
        <v>0</v>
      </c>
      <c r="G12" s="83">
        <v>11</v>
      </c>
      <c r="H12" s="84" t="s">
        <v>111</v>
      </c>
      <c r="I12" s="85" t="s">
        <v>122</v>
      </c>
    </row>
    <row r="13" spans="2:12" x14ac:dyDescent="0.25">
      <c r="B13" s="80">
        <v>3</v>
      </c>
      <c r="C13" s="80">
        <v>2</v>
      </c>
      <c r="D13" s="80">
        <v>0</v>
      </c>
      <c r="E13" s="80">
        <v>0</v>
      </c>
      <c r="F13" s="80">
        <v>0</v>
      </c>
      <c r="G13" s="83">
        <v>12</v>
      </c>
      <c r="H13" s="84" t="s">
        <v>111</v>
      </c>
      <c r="I13" s="85" t="s">
        <v>123</v>
      </c>
    </row>
    <row r="14" spans="2:12" x14ac:dyDescent="0.25">
      <c r="B14" s="80">
        <v>0</v>
      </c>
      <c r="C14" s="80">
        <v>3</v>
      </c>
      <c r="D14" s="80">
        <v>0</v>
      </c>
      <c r="E14" s="80">
        <v>0</v>
      </c>
      <c r="F14" s="80">
        <v>0</v>
      </c>
      <c r="G14" s="83">
        <v>13</v>
      </c>
      <c r="H14" s="84" t="s">
        <v>111</v>
      </c>
      <c r="I14" s="85" t="s">
        <v>124</v>
      </c>
    </row>
    <row r="15" spans="2:12" x14ac:dyDescent="0.25">
      <c r="B15" s="80">
        <v>1</v>
      </c>
      <c r="C15" s="80">
        <v>3</v>
      </c>
      <c r="D15" s="80">
        <v>0</v>
      </c>
      <c r="E15" s="80">
        <v>0</v>
      </c>
      <c r="F15" s="80">
        <v>0</v>
      </c>
      <c r="G15" s="83">
        <v>14</v>
      </c>
      <c r="H15" s="84" t="s">
        <v>111</v>
      </c>
      <c r="I15" s="85" t="s">
        <v>125</v>
      </c>
    </row>
    <row r="16" spans="2:12" x14ac:dyDescent="0.25">
      <c r="B16" s="80">
        <v>2</v>
      </c>
      <c r="C16" s="80">
        <v>3</v>
      </c>
      <c r="D16" s="80">
        <v>0</v>
      </c>
      <c r="E16" s="80">
        <v>0</v>
      </c>
      <c r="F16" s="80">
        <v>0</v>
      </c>
      <c r="G16" s="83">
        <v>15</v>
      </c>
      <c r="H16" s="84" t="s">
        <v>111</v>
      </c>
      <c r="I16" s="85" t="s">
        <v>126</v>
      </c>
    </row>
    <row r="17" spans="2:9" x14ac:dyDescent="0.25">
      <c r="B17" s="80">
        <v>3</v>
      </c>
      <c r="C17" s="80">
        <v>3</v>
      </c>
      <c r="D17" s="80">
        <v>0</v>
      </c>
      <c r="E17" s="80">
        <v>0</v>
      </c>
      <c r="F17" s="80">
        <v>0</v>
      </c>
      <c r="G17" s="83">
        <v>16</v>
      </c>
      <c r="H17" s="84" t="s">
        <v>111</v>
      </c>
      <c r="I17" s="85" t="s">
        <v>127</v>
      </c>
    </row>
    <row r="18" spans="2:9" x14ac:dyDescent="0.25">
      <c r="B18" s="80">
        <v>0</v>
      </c>
      <c r="C18" s="80">
        <v>0</v>
      </c>
      <c r="D18" s="80">
        <v>0</v>
      </c>
      <c r="E18" s="80">
        <v>1</v>
      </c>
      <c r="F18" s="80">
        <v>0</v>
      </c>
      <c r="G18" s="83">
        <v>17</v>
      </c>
      <c r="H18" s="84" t="s">
        <v>111</v>
      </c>
      <c r="I18" s="85" t="s">
        <v>128</v>
      </c>
    </row>
    <row r="19" spans="2:9" x14ac:dyDescent="0.25">
      <c r="B19" s="80">
        <v>1</v>
      </c>
      <c r="C19" s="80">
        <v>0</v>
      </c>
      <c r="D19" s="80">
        <v>0</v>
      </c>
      <c r="E19" s="80">
        <v>1</v>
      </c>
      <c r="F19" s="80">
        <v>0</v>
      </c>
      <c r="G19" s="83">
        <v>18</v>
      </c>
      <c r="H19" s="84" t="s">
        <v>111</v>
      </c>
      <c r="I19" s="85" t="s">
        <v>129</v>
      </c>
    </row>
    <row r="20" spans="2:9" x14ac:dyDescent="0.25">
      <c r="B20" s="80">
        <v>2</v>
      </c>
      <c r="C20" s="80">
        <v>0</v>
      </c>
      <c r="D20" s="80">
        <v>0</v>
      </c>
      <c r="E20" s="80">
        <v>1</v>
      </c>
      <c r="F20" s="80">
        <v>0</v>
      </c>
      <c r="G20" s="83">
        <v>19</v>
      </c>
      <c r="H20" s="84" t="s">
        <v>111</v>
      </c>
      <c r="I20" s="85" t="s">
        <v>130</v>
      </c>
    </row>
    <row r="21" spans="2:9" x14ac:dyDescent="0.25">
      <c r="B21" s="80">
        <v>3</v>
      </c>
      <c r="C21" s="80">
        <v>0</v>
      </c>
      <c r="D21" s="80">
        <v>0</v>
      </c>
      <c r="E21" s="80">
        <v>1</v>
      </c>
      <c r="F21" s="80">
        <v>0</v>
      </c>
      <c r="G21" s="83">
        <v>20</v>
      </c>
      <c r="H21" s="84" t="s">
        <v>111</v>
      </c>
      <c r="I21" s="85" t="s">
        <v>131</v>
      </c>
    </row>
    <row r="22" spans="2:9" x14ac:dyDescent="0.25">
      <c r="B22" s="80">
        <v>0</v>
      </c>
      <c r="C22" s="80">
        <v>1</v>
      </c>
      <c r="D22" s="80">
        <v>0</v>
      </c>
      <c r="E22" s="80">
        <v>1</v>
      </c>
      <c r="F22" s="80">
        <v>0</v>
      </c>
      <c r="G22" s="83">
        <v>21</v>
      </c>
      <c r="H22" s="84" t="s">
        <v>111</v>
      </c>
      <c r="I22" s="85" t="s">
        <v>132</v>
      </c>
    </row>
    <row r="23" spans="2:9" x14ac:dyDescent="0.25">
      <c r="B23" s="80">
        <v>1</v>
      </c>
      <c r="C23" s="80">
        <v>1</v>
      </c>
      <c r="D23" s="80">
        <v>0</v>
      </c>
      <c r="E23" s="80">
        <v>1</v>
      </c>
      <c r="F23" s="80">
        <v>0</v>
      </c>
      <c r="G23" s="83">
        <v>22</v>
      </c>
      <c r="H23" s="84" t="s">
        <v>111</v>
      </c>
      <c r="I23" s="85" t="s">
        <v>133</v>
      </c>
    </row>
    <row r="24" spans="2:9" x14ac:dyDescent="0.25">
      <c r="B24" s="80">
        <v>2</v>
      </c>
      <c r="C24" s="80">
        <v>1</v>
      </c>
      <c r="D24" s="80">
        <v>0</v>
      </c>
      <c r="E24" s="80">
        <v>1</v>
      </c>
      <c r="F24" s="80">
        <v>0</v>
      </c>
      <c r="G24" s="83">
        <v>23</v>
      </c>
      <c r="H24" s="84" t="s">
        <v>111</v>
      </c>
      <c r="I24" s="85" t="s">
        <v>134</v>
      </c>
    </row>
    <row r="25" spans="2:9" x14ac:dyDescent="0.25">
      <c r="B25" s="80">
        <v>3</v>
      </c>
      <c r="C25" s="80">
        <v>1</v>
      </c>
      <c r="D25" s="80">
        <v>0</v>
      </c>
      <c r="E25" s="80">
        <v>1</v>
      </c>
      <c r="F25" s="80">
        <v>0</v>
      </c>
      <c r="G25" s="83">
        <v>24</v>
      </c>
      <c r="H25" s="84" t="s">
        <v>111</v>
      </c>
      <c r="I25" s="85" t="s">
        <v>135</v>
      </c>
    </row>
    <row r="26" spans="2:9" x14ac:dyDescent="0.25">
      <c r="B26" s="80">
        <v>0</v>
      </c>
      <c r="C26" s="80">
        <v>2</v>
      </c>
      <c r="D26" s="80">
        <v>0</v>
      </c>
      <c r="E26" s="80">
        <v>1</v>
      </c>
      <c r="F26" s="80">
        <v>0</v>
      </c>
      <c r="G26" s="83">
        <v>25</v>
      </c>
      <c r="H26" s="84" t="s">
        <v>111</v>
      </c>
      <c r="I26" s="85" t="s">
        <v>136</v>
      </c>
    </row>
    <row r="27" spans="2:9" x14ac:dyDescent="0.25">
      <c r="B27" s="80">
        <v>1</v>
      </c>
      <c r="C27" s="80">
        <v>2</v>
      </c>
      <c r="D27" s="80">
        <v>0</v>
      </c>
      <c r="E27" s="80">
        <v>1</v>
      </c>
      <c r="F27" s="80">
        <v>0</v>
      </c>
      <c r="G27" s="83">
        <v>26</v>
      </c>
      <c r="H27" s="84" t="s">
        <v>111</v>
      </c>
      <c r="I27" s="85" t="s">
        <v>137</v>
      </c>
    </row>
    <row r="28" spans="2:9" x14ac:dyDescent="0.25">
      <c r="B28" s="80">
        <v>2</v>
      </c>
      <c r="C28" s="80">
        <v>2</v>
      </c>
      <c r="D28" s="80">
        <v>0</v>
      </c>
      <c r="E28" s="80">
        <v>1</v>
      </c>
      <c r="F28" s="80">
        <v>0</v>
      </c>
      <c r="G28" s="83">
        <v>27</v>
      </c>
      <c r="H28" s="84" t="s">
        <v>111</v>
      </c>
      <c r="I28" s="85" t="s">
        <v>138</v>
      </c>
    </row>
    <row r="29" spans="2:9" x14ac:dyDescent="0.25">
      <c r="B29" s="80">
        <v>3</v>
      </c>
      <c r="C29" s="80">
        <v>2</v>
      </c>
      <c r="D29" s="80">
        <v>0</v>
      </c>
      <c r="E29" s="80">
        <v>1</v>
      </c>
      <c r="F29" s="80">
        <v>0</v>
      </c>
      <c r="G29" s="83">
        <v>28</v>
      </c>
      <c r="H29" s="84" t="s">
        <v>111</v>
      </c>
      <c r="I29" s="85" t="s">
        <v>139</v>
      </c>
    </row>
    <row r="30" spans="2:9" x14ac:dyDescent="0.25">
      <c r="B30" s="80">
        <v>0</v>
      </c>
      <c r="C30" s="80">
        <v>3</v>
      </c>
      <c r="D30" s="80">
        <v>0</v>
      </c>
      <c r="E30" s="80">
        <v>1</v>
      </c>
      <c r="F30" s="80">
        <v>0</v>
      </c>
      <c r="G30" s="83">
        <v>29</v>
      </c>
      <c r="H30" s="84" t="s">
        <v>111</v>
      </c>
      <c r="I30" s="85" t="s">
        <v>140</v>
      </c>
    </row>
    <row r="31" spans="2:9" x14ac:dyDescent="0.25">
      <c r="B31" s="80">
        <v>1</v>
      </c>
      <c r="C31" s="80">
        <v>3</v>
      </c>
      <c r="D31" s="80">
        <v>0</v>
      </c>
      <c r="E31" s="80">
        <v>1</v>
      </c>
      <c r="F31" s="80">
        <v>0</v>
      </c>
      <c r="G31" s="83">
        <v>30</v>
      </c>
      <c r="H31" s="84" t="s">
        <v>111</v>
      </c>
      <c r="I31" s="85" t="s">
        <v>141</v>
      </c>
    </row>
    <row r="32" spans="2:9" x14ac:dyDescent="0.25">
      <c r="B32" s="80">
        <v>2</v>
      </c>
      <c r="C32" s="80">
        <v>3</v>
      </c>
      <c r="D32" s="80">
        <v>0</v>
      </c>
      <c r="E32" s="80">
        <v>1</v>
      </c>
      <c r="F32" s="80">
        <v>0</v>
      </c>
      <c r="G32" s="83">
        <v>31</v>
      </c>
      <c r="H32" s="84" t="s">
        <v>111</v>
      </c>
      <c r="I32" s="85" t="s">
        <v>142</v>
      </c>
    </row>
    <row r="33" spans="2:9" x14ac:dyDescent="0.25">
      <c r="B33" s="80">
        <v>3</v>
      </c>
      <c r="C33" s="80">
        <v>3</v>
      </c>
      <c r="D33" s="80">
        <v>0</v>
      </c>
      <c r="E33" s="80">
        <v>1</v>
      </c>
      <c r="F33" s="80">
        <v>0</v>
      </c>
      <c r="G33" s="83">
        <v>32</v>
      </c>
      <c r="H33" s="84" t="s">
        <v>111</v>
      </c>
      <c r="I33" s="85" t="s">
        <v>143</v>
      </c>
    </row>
    <row r="34" spans="2:9" x14ac:dyDescent="0.25">
      <c r="B34" s="80">
        <v>0</v>
      </c>
      <c r="C34" s="80">
        <v>0</v>
      </c>
      <c r="D34" s="80">
        <v>0</v>
      </c>
      <c r="E34" s="80">
        <v>2</v>
      </c>
      <c r="F34" s="80">
        <v>0</v>
      </c>
      <c r="G34" s="83">
        <v>33</v>
      </c>
      <c r="H34" s="84" t="s">
        <v>111</v>
      </c>
      <c r="I34" s="85" t="s">
        <v>144</v>
      </c>
    </row>
    <row r="35" spans="2:9" x14ac:dyDescent="0.25">
      <c r="B35" s="80">
        <v>1</v>
      </c>
      <c r="C35" s="80">
        <v>0</v>
      </c>
      <c r="D35" s="80">
        <v>0</v>
      </c>
      <c r="E35" s="80">
        <v>2</v>
      </c>
      <c r="F35" s="80">
        <v>0</v>
      </c>
      <c r="G35" s="83">
        <v>34</v>
      </c>
      <c r="H35" s="84" t="s">
        <v>111</v>
      </c>
      <c r="I35" s="85" t="s">
        <v>145</v>
      </c>
    </row>
    <row r="36" spans="2:9" x14ac:dyDescent="0.25">
      <c r="B36" s="80">
        <v>2</v>
      </c>
      <c r="C36" s="80">
        <v>0</v>
      </c>
      <c r="D36" s="80">
        <v>0</v>
      </c>
      <c r="E36" s="80">
        <v>2</v>
      </c>
      <c r="F36" s="80">
        <v>0</v>
      </c>
      <c r="G36" s="83">
        <v>35</v>
      </c>
      <c r="H36" s="84" t="s">
        <v>111</v>
      </c>
      <c r="I36" s="85" t="s">
        <v>146</v>
      </c>
    </row>
    <row r="37" spans="2:9" x14ac:dyDescent="0.25">
      <c r="B37" s="80">
        <v>3</v>
      </c>
      <c r="C37" s="80">
        <v>0</v>
      </c>
      <c r="D37" s="80">
        <v>0</v>
      </c>
      <c r="E37" s="80">
        <v>2</v>
      </c>
      <c r="F37" s="80">
        <v>0</v>
      </c>
      <c r="G37" s="83">
        <v>36</v>
      </c>
      <c r="H37" s="84" t="s">
        <v>111</v>
      </c>
      <c r="I37" s="85" t="s">
        <v>147</v>
      </c>
    </row>
    <row r="38" spans="2:9" x14ac:dyDescent="0.25">
      <c r="B38" s="80">
        <v>0</v>
      </c>
      <c r="C38" s="80">
        <v>1</v>
      </c>
      <c r="D38" s="80">
        <v>0</v>
      </c>
      <c r="E38" s="80">
        <v>2</v>
      </c>
      <c r="F38" s="80">
        <v>0</v>
      </c>
      <c r="G38" s="83">
        <v>37</v>
      </c>
      <c r="H38" s="84" t="s">
        <v>111</v>
      </c>
      <c r="I38" s="85" t="s">
        <v>148</v>
      </c>
    </row>
    <row r="39" spans="2:9" x14ac:dyDescent="0.25">
      <c r="B39" s="80">
        <v>1</v>
      </c>
      <c r="C39" s="80">
        <v>1</v>
      </c>
      <c r="D39" s="80">
        <v>0</v>
      </c>
      <c r="E39" s="80">
        <v>2</v>
      </c>
      <c r="F39" s="80">
        <v>0</v>
      </c>
      <c r="G39" s="83">
        <v>38</v>
      </c>
      <c r="H39" s="84" t="s">
        <v>111</v>
      </c>
      <c r="I39" s="85" t="s">
        <v>149</v>
      </c>
    </row>
    <row r="40" spans="2:9" x14ac:dyDescent="0.25">
      <c r="B40" s="80">
        <v>2</v>
      </c>
      <c r="C40" s="80">
        <v>1</v>
      </c>
      <c r="D40" s="80">
        <v>0</v>
      </c>
      <c r="E40" s="80">
        <v>2</v>
      </c>
      <c r="F40" s="80">
        <v>0</v>
      </c>
      <c r="G40" s="83">
        <v>39</v>
      </c>
      <c r="H40" s="84" t="s">
        <v>111</v>
      </c>
      <c r="I40" s="85" t="s">
        <v>150</v>
      </c>
    </row>
    <row r="41" spans="2:9" x14ac:dyDescent="0.25">
      <c r="B41" s="80">
        <v>3</v>
      </c>
      <c r="C41" s="80">
        <v>1</v>
      </c>
      <c r="D41" s="80">
        <v>0</v>
      </c>
      <c r="E41" s="80">
        <v>2</v>
      </c>
      <c r="F41" s="80">
        <v>0</v>
      </c>
      <c r="G41" s="83">
        <v>40</v>
      </c>
      <c r="H41" s="84" t="s">
        <v>111</v>
      </c>
      <c r="I41" s="85" t="s">
        <v>151</v>
      </c>
    </row>
    <row r="42" spans="2:9" x14ac:dyDescent="0.25">
      <c r="B42" s="80">
        <v>0</v>
      </c>
      <c r="C42" s="80">
        <v>2</v>
      </c>
      <c r="D42" s="80">
        <v>0</v>
      </c>
      <c r="E42" s="80">
        <v>2</v>
      </c>
      <c r="F42" s="80">
        <v>0</v>
      </c>
      <c r="G42" s="83">
        <v>41</v>
      </c>
      <c r="H42" s="84" t="s">
        <v>111</v>
      </c>
      <c r="I42" s="85" t="s">
        <v>152</v>
      </c>
    </row>
    <row r="43" spans="2:9" x14ac:dyDescent="0.25">
      <c r="B43" s="80">
        <v>1</v>
      </c>
      <c r="C43" s="80">
        <v>2</v>
      </c>
      <c r="D43" s="80">
        <v>0</v>
      </c>
      <c r="E43" s="80">
        <v>2</v>
      </c>
      <c r="F43" s="80">
        <v>0</v>
      </c>
      <c r="G43" s="83">
        <v>42</v>
      </c>
      <c r="H43" s="84" t="s">
        <v>111</v>
      </c>
      <c r="I43" s="85" t="s">
        <v>153</v>
      </c>
    </row>
    <row r="44" spans="2:9" x14ac:dyDescent="0.25">
      <c r="B44" s="80">
        <v>2</v>
      </c>
      <c r="C44" s="80">
        <v>2</v>
      </c>
      <c r="D44" s="80">
        <v>0</v>
      </c>
      <c r="E44" s="80">
        <v>2</v>
      </c>
      <c r="F44" s="80">
        <v>0</v>
      </c>
      <c r="G44" s="83">
        <v>43</v>
      </c>
      <c r="H44" s="84" t="s">
        <v>111</v>
      </c>
      <c r="I44" s="85" t="s">
        <v>154</v>
      </c>
    </row>
    <row r="45" spans="2:9" x14ac:dyDescent="0.25">
      <c r="B45" s="80">
        <v>3</v>
      </c>
      <c r="C45" s="80">
        <v>2</v>
      </c>
      <c r="D45" s="80">
        <v>0</v>
      </c>
      <c r="E45" s="80">
        <v>2</v>
      </c>
      <c r="F45" s="80">
        <v>0</v>
      </c>
      <c r="G45" s="83">
        <v>44</v>
      </c>
      <c r="H45" s="84" t="s">
        <v>111</v>
      </c>
      <c r="I45" s="85" t="s">
        <v>155</v>
      </c>
    </row>
    <row r="46" spans="2:9" x14ac:dyDescent="0.25">
      <c r="B46" s="80">
        <v>0</v>
      </c>
      <c r="C46" s="80">
        <v>3</v>
      </c>
      <c r="D46" s="80">
        <v>0</v>
      </c>
      <c r="E46" s="80">
        <v>2</v>
      </c>
      <c r="F46" s="80">
        <v>0</v>
      </c>
      <c r="G46" s="83">
        <v>45</v>
      </c>
      <c r="H46" s="84" t="s">
        <v>111</v>
      </c>
      <c r="I46" s="85" t="s">
        <v>156</v>
      </c>
    </row>
    <row r="47" spans="2:9" x14ac:dyDescent="0.25">
      <c r="B47" s="80">
        <v>1</v>
      </c>
      <c r="C47" s="80">
        <v>3</v>
      </c>
      <c r="D47" s="80">
        <v>0</v>
      </c>
      <c r="E47" s="80">
        <v>2</v>
      </c>
      <c r="F47" s="80">
        <v>0</v>
      </c>
      <c r="G47" s="83">
        <v>46</v>
      </c>
      <c r="H47" s="84" t="s">
        <v>111</v>
      </c>
      <c r="I47" s="85" t="s">
        <v>157</v>
      </c>
    </row>
    <row r="48" spans="2:9" x14ac:dyDescent="0.25">
      <c r="B48" s="80">
        <v>2</v>
      </c>
      <c r="C48" s="80">
        <v>3</v>
      </c>
      <c r="D48" s="80">
        <v>0</v>
      </c>
      <c r="E48" s="80">
        <v>2</v>
      </c>
      <c r="F48" s="80">
        <v>0</v>
      </c>
      <c r="G48" s="83">
        <v>47</v>
      </c>
      <c r="H48" s="84" t="s">
        <v>111</v>
      </c>
      <c r="I48" s="85" t="s">
        <v>158</v>
      </c>
    </row>
    <row r="49" spans="2:9" x14ac:dyDescent="0.25">
      <c r="B49" s="80">
        <v>3</v>
      </c>
      <c r="C49" s="80">
        <v>3</v>
      </c>
      <c r="D49" s="80">
        <v>0</v>
      </c>
      <c r="E49" s="80">
        <v>2</v>
      </c>
      <c r="F49" s="80">
        <v>0</v>
      </c>
      <c r="G49" s="83">
        <v>48</v>
      </c>
      <c r="H49" s="84" t="s">
        <v>111</v>
      </c>
      <c r="I49" s="85" t="s">
        <v>159</v>
      </c>
    </row>
    <row r="50" spans="2:9" x14ac:dyDescent="0.25">
      <c r="B50" s="80">
        <v>0</v>
      </c>
      <c r="C50" s="80">
        <v>0</v>
      </c>
      <c r="D50" s="80">
        <v>0</v>
      </c>
      <c r="E50" s="80">
        <v>3</v>
      </c>
      <c r="F50" s="80">
        <v>0</v>
      </c>
      <c r="G50" s="83">
        <v>49</v>
      </c>
      <c r="H50" s="84" t="s">
        <v>111</v>
      </c>
      <c r="I50" s="85" t="s">
        <v>160</v>
      </c>
    </row>
    <row r="51" spans="2:9" x14ac:dyDescent="0.25">
      <c r="B51" s="80">
        <v>1</v>
      </c>
      <c r="C51" s="80">
        <v>0</v>
      </c>
      <c r="D51" s="80">
        <v>0</v>
      </c>
      <c r="E51" s="80">
        <v>3</v>
      </c>
      <c r="F51" s="80">
        <v>0</v>
      </c>
      <c r="G51" s="83">
        <v>50</v>
      </c>
      <c r="H51" s="84" t="s">
        <v>111</v>
      </c>
      <c r="I51" s="85" t="s">
        <v>161</v>
      </c>
    </row>
    <row r="52" spans="2:9" x14ac:dyDescent="0.25">
      <c r="B52" s="80">
        <v>2</v>
      </c>
      <c r="C52" s="80">
        <v>0</v>
      </c>
      <c r="D52" s="80">
        <v>0</v>
      </c>
      <c r="E52" s="80">
        <v>3</v>
      </c>
      <c r="F52" s="80">
        <v>0</v>
      </c>
      <c r="G52" s="83">
        <v>51</v>
      </c>
      <c r="H52" s="84" t="s">
        <v>111</v>
      </c>
      <c r="I52" s="85" t="s">
        <v>162</v>
      </c>
    </row>
    <row r="53" spans="2:9" x14ac:dyDescent="0.25">
      <c r="B53" s="80">
        <v>3</v>
      </c>
      <c r="C53" s="80">
        <v>0</v>
      </c>
      <c r="D53" s="80">
        <v>0</v>
      </c>
      <c r="E53" s="80">
        <v>3</v>
      </c>
      <c r="F53" s="80">
        <v>0</v>
      </c>
      <c r="G53" s="83">
        <v>52</v>
      </c>
      <c r="H53" s="84" t="s">
        <v>111</v>
      </c>
      <c r="I53" s="85" t="s">
        <v>163</v>
      </c>
    </row>
    <row r="54" spans="2:9" x14ac:dyDescent="0.25">
      <c r="B54" s="80">
        <v>0</v>
      </c>
      <c r="C54" s="80">
        <v>1</v>
      </c>
      <c r="D54" s="80">
        <v>0</v>
      </c>
      <c r="E54" s="80">
        <v>3</v>
      </c>
      <c r="F54" s="80">
        <v>0</v>
      </c>
      <c r="G54" s="83">
        <v>53</v>
      </c>
      <c r="H54" s="84" t="s">
        <v>111</v>
      </c>
      <c r="I54" s="85" t="s">
        <v>164</v>
      </c>
    </row>
    <row r="55" spans="2:9" x14ac:dyDescent="0.25">
      <c r="B55" s="80">
        <v>1</v>
      </c>
      <c r="C55" s="80">
        <v>1</v>
      </c>
      <c r="D55" s="80">
        <v>0</v>
      </c>
      <c r="E55" s="80">
        <v>3</v>
      </c>
      <c r="F55" s="80">
        <v>0</v>
      </c>
      <c r="G55" s="83">
        <v>54</v>
      </c>
      <c r="H55" s="84" t="s">
        <v>111</v>
      </c>
      <c r="I55" s="85" t="s">
        <v>165</v>
      </c>
    </row>
    <row r="56" spans="2:9" x14ac:dyDescent="0.25">
      <c r="B56" s="80">
        <v>2</v>
      </c>
      <c r="C56" s="80">
        <v>1</v>
      </c>
      <c r="D56" s="80">
        <v>0</v>
      </c>
      <c r="E56" s="80">
        <v>3</v>
      </c>
      <c r="F56" s="80">
        <v>0</v>
      </c>
      <c r="G56" s="83">
        <v>55</v>
      </c>
      <c r="H56" s="84" t="s">
        <v>111</v>
      </c>
      <c r="I56" s="85" t="s">
        <v>166</v>
      </c>
    </row>
    <row r="57" spans="2:9" x14ac:dyDescent="0.25">
      <c r="B57" s="80">
        <v>3</v>
      </c>
      <c r="C57" s="80">
        <v>1</v>
      </c>
      <c r="D57" s="80">
        <v>0</v>
      </c>
      <c r="E57" s="80">
        <v>3</v>
      </c>
      <c r="F57" s="80">
        <v>0</v>
      </c>
      <c r="G57" s="83">
        <v>56</v>
      </c>
      <c r="H57" s="84" t="s">
        <v>111</v>
      </c>
      <c r="I57" s="85" t="s">
        <v>167</v>
      </c>
    </row>
    <row r="58" spans="2:9" x14ac:dyDescent="0.25">
      <c r="B58" s="80">
        <v>0</v>
      </c>
      <c r="C58" s="80">
        <v>2</v>
      </c>
      <c r="D58" s="80">
        <v>0</v>
      </c>
      <c r="E58" s="80">
        <v>3</v>
      </c>
      <c r="F58" s="80">
        <v>0</v>
      </c>
      <c r="G58" s="83">
        <v>57</v>
      </c>
      <c r="H58" s="84" t="s">
        <v>111</v>
      </c>
      <c r="I58" s="85" t="s">
        <v>168</v>
      </c>
    </row>
    <row r="59" spans="2:9" x14ac:dyDescent="0.25">
      <c r="B59" s="80">
        <v>1</v>
      </c>
      <c r="C59" s="80">
        <v>2</v>
      </c>
      <c r="D59" s="80">
        <v>0</v>
      </c>
      <c r="E59" s="80">
        <v>3</v>
      </c>
      <c r="F59" s="80">
        <v>0</v>
      </c>
      <c r="G59" s="83">
        <v>58</v>
      </c>
      <c r="H59" s="84" t="s">
        <v>111</v>
      </c>
      <c r="I59" s="85" t="s">
        <v>169</v>
      </c>
    </row>
    <row r="60" spans="2:9" x14ac:dyDescent="0.25">
      <c r="B60" s="80">
        <v>2</v>
      </c>
      <c r="C60" s="80">
        <v>2</v>
      </c>
      <c r="D60" s="80">
        <v>0</v>
      </c>
      <c r="E60" s="80">
        <v>3</v>
      </c>
      <c r="F60" s="80">
        <v>0</v>
      </c>
      <c r="G60" s="83">
        <v>59</v>
      </c>
      <c r="H60" s="84" t="s">
        <v>111</v>
      </c>
      <c r="I60" s="85" t="s">
        <v>170</v>
      </c>
    </row>
    <row r="61" spans="2:9" x14ac:dyDescent="0.25">
      <c r="B61" s="80">
        <v>3</v>
      </c>
      <c r="C61" s="80">
        <v>2</v>
      </c>
      <c r="D61" s="80">
        <v>0</v>
      </c>
      <c r="E61" s="80">
        <v>3</v>
      </c>
      <c r="F61" s="80">
        <v>0</v>
      </c>
      <c r="G61" s="83">
        <v>60</v>
      </c>
      <c r="H61" s="84" t="s">
        <v>111</v>
      </c>
      <c r="I61" s="85" t="s">
        <v>171</v>
      </c>
    </row>
    <row r="62" spans="2:9" x14ac:dyDescent="0.25">
      <c r="B62" s="80">
        <v>0</v>
      </c>
      <c r="C62" s="80">
        <v>3</v>
      </c>
      <c r="D62" s="80">
        <v>0</v>
      </c>
      <c r="E62" s="80">
        <v>3</v>
      </c>
      <c r="F62" s="80">
        <v>0</v>
      </c>
      <c r="G62" s="83">
        <v>61</v>
      </c>
      <c r="H62" s="84" t="s">
        <v>111</v>
      </c>
      <c r="I62" s="85" t="s">
        <v>172</v>
      </c>
    </row>
    <row r="63" spans="2:9" x14ac:dyDescent="0.25">
      <c r="B63" s="80">
        <v>1</v>
      </c>
      <c r="C63" s="80">
        <v>3</v>
      </c>
      <c r="D63" s="80">
        <v>0</v>
      </c>
      <c r="E63" s="80">
        <v>3</v>
      </c>
      <c r="F63" s="80">
        <v>0</v>
      </c>
      <c r="G63" s="83">
        <v>62</v>
      </c>
      <c r="H63" s="84" t="s">
        <v>111</v>
      </c>
      <c r="I63" s="85" t="s">
        <v>173</v>
      </c>
    </row>
    <row r="64" spans="2:9" x14ac:dyDescent="0.25">
      <c r="B64" s="80">
        <v>2</v>
      </c>
      <c r="C64" s="80">
        <v>3</v>
      </c>
      <c r="D64" s="80">
        <v>0</v>
      </c>
      <c r="E64" s="80">
        <v>3</v>
      </c>
      <c r="F64" s="80">
        <v>0</v>
      </c>
      <c r="G64" s="83">
        <v>63</v>
      </c>
      <c r="H64" s="84" t="s">
        <v>111</v>
      </c>
      <c r="I64" s="85" t="s">
        <v>174</v>
      </c>
    </row>
    <row r="65" spans="2:9" x14ac:dyDescent="0.25">
      <c r="B65" s="80">
        <v>3</v>
      </c>
      <c r="C65" s="80">
        <v>3</v>
      </c>
      <c r="D65" s="80">
        <v>0</v>
      </c>
      <c r="E65" s="80">
        <v>3</v>
      </c>
      <c r="F65" s="80">
        <v>0</v>
      </c>
      <c r="G65" s="83">
        <v>64</v>
      </c>
      <c r="H65" s="84" t="s">
        <v>111</v>
      </c>
      <c r="I65" s="85" t="s">
        <v>175</v>
      </c>
    </row>
    <row r="66" spans="2:9" x14ac:dyDescent="0.25">
      <c r="B66" s="80">
        <v>0</v>
      </c>
      <c r="C66" s="80">
        <v>0</v>
      </c>
      <c r="D66" s="80">
        <v>1</v>
      </c>
      <c r="E66" s="80">
        <v>4</v>
      </c>
      <c r="F66" s="80">
        <v>0</v>
      </c>
      <c r="G66" s="83">
        <v>65</v>
      </c>
      <c r="H66" s="84" t="s">
        <v>111</v>
      </c>
      <c r="I66" s="85" t="s">
        <v>176</v>
      </c>
    </row>
    <row r="67" spans="2:9" x14ac:dyDescent="0.25">
      <c r="B67" s="80">
        <v>1</v>
      </c>
      <c r="C67" s="80">
        <v>0</v>
      </c>
      <c r="D67" s="80">
        <v>1</v>
      </c>
      <c r="E67" s="80">
        <v>4</v>
      </c>
      <c r="F67" s="80">
        <v>0</v>
      </c>
      <c r="G67" s="83">
        <v>66</v>
      </c>
      <c r="H67" s="84" t="s">
        <v>111</v>
      </c>
      <c r="I67" s="85" t="s">
        <v>177</v>
      </c>
    </row>
    <row r="68" spans="2:9" x14ac:dyDescent="0.25">
      <c r="B68" s="80">
        <v>2</v>
      </c>
      <c r="C68" s="80">
        <v>0</v>
      </c>
      <c r="D68" s="80">
        <v>1</v>
      </c>
      <c r="E68" s="80">
        <v>4</v>
      </c>
      <c r="F68" s="80">
        <v>0</v>
      </c>
      <c r="G68" s="83">
        <v>67</v>
      </c>
      <c r="H68" s="84" t="s">
        <v>111</v>
      </c>
      <c r="I68" s="85" t="s">
        <v>178</v>
      </c>
    </row>
    <row r="69" spans="2:9" x14ac:dyDescent="0.25">
      <c r="B69" s="80">
        <v>3</v>
      </c>
      <c r="C69" s="80">
        <v>0</v>
      </c>
      <c r="D69" s="80">
        <v>1</v>
      </c>
      <c r="E69" s="80">
        <v>4</v>
      </c>
      <c r="F69" s="80">
        <v>0</v>
      </c>
      <c r="G69" s="83">
        <v>68</v>
      </c>
      <c r="H69" s="84" t="s">
        <v>111</v>
      </c>
      <c r="I69" s="85" t="s">
        <v>179</v>
      </c>
    </row>
    <row r="70" spans="2:9" x14ac:dyDescent="0.25">
      <c r="B70" s="80">
        <v>0</v>
      </c>
      <c r="C70" s="80">
        <v>1</v>
      </c>
      <c r="D70" s="80">
        <v>1</v>
      </c>
      <c r="E70" s="80">
        <v>4</v>
      </c>
      <c r="F70" s="80">
        <v>0</v>
      </c>
      <c r="G70" s="83">
        <v>69</v>
      </c>
      <c r="H70" s="84" t="s">
        <v>111</v>
      </c>
      <c r="I70" s="85" t="s">
        <v>180</v>
      </c>
    </row>
    <row r="71" spans="2:9" x14ac:dyDescent="0.25">
      <c r="B71" s="80">
        <v>1</v>
      </c>
      <c r="C71" s="80">
        <v>1</v>
      </c>
      <c r="D71" s="80">
        <v>1</v>
      </c>
      <c r="E71" s="80">
        <v>4</v>
      </c>
      <c r="F71" s="80">
        <v>0</v>
      </c>
      <c r="G71" s="83">
        <v>70</v>
      </c>
      <c r="H71" s="84" t="s">
        <v>111</v>
      </c>
      <c r="I71" s="85" t="s">
        <v>181</v>
      </c>
    </row>
    <row r="72" spans="2:9" x14ac:dyDescent="0.25">
      <c r="B72" s="80">
        <v>2</v>
      </c>
      <c r="C72" s="80">
        <v>1</v>
      </c>
      <c r="D72" s="80">
        <v>1</v>
      </c>
      <c r="E72" s="80">
        <v>4</v>
      </c>
      <c r="F72" s="80">
        <v>0</v>
      </c>
      <c r="G72" s="83">
        <v>71</v>
      </c>
      <c r="H72" s="84" t="s">
        <v>111</v>
      </c>
      <c r="I72" s="85" t="s">
        <v>182</v>
      </c>
    </row>
    <row r="73" spans="2:9" x14ac:dyDescent="0.25">
      <c r="B73" s="80">
        <v>3</v>
      </c>
      <c r="C73" s="80">
        <v>1</v>
      </c>
      <c r="D73" s="80">
        <v>1</v>
      </c>
      <c r="E73" s="80">
        <v>4</v>
      </c>
      <c r="F73" s="80">
        <v>0</v>
      </c>
      <c r="G73" s="83">
        <v>72</v>
      </c>
      <c r="H73" s="84" t="s">
        <v>111</v>
      </c>
      <c r="I73" s="85" t="s">
        <v>183</v>
      </c>
    </row>
    <row r="74" spans="2:9" x14ac:dyDescent="0.25">
      <c r="B74" s="80">
        <v>0</v>
      </c>
      <c r="C74" s="80">
        <v>2</v>
      </c>
      <c r="D74" s="80">
        <v>1</v>
      </c>
      <c r="E74" s="80">
        <v>4</v>
      </c>
      <c r="F74" s="80">
        <v>0</v>
      </c>
      <c r="G74" s="83">
        <v>73</v>
      </c>
      <c r="H74" s="84" t="s">
        <v>111</v>
      </c>
      <c r="I74" s="85" t="s">
        <v>184</v>
      </c>
    </row>
    <row r="75" spans="2:9" x14ac:dyDescent="0.25">
      <c r="B75" s="80">
        <v>1</v>
      </c>
      <c r="C75" s="80">
        <v>2</v>
      </c>
      <c r="D75" s="80">
        <v>1</v>
      </c>
      <c r="E75" s="80">
        <v>4</v>
      </c>
      <c r="F75" s="80">
        <v>0</v>
      </c>
      <c r="G75" s="83">
        <v>74</v>
      </c>
      <c r="H75" s="84" t="s">
        <v>111</v>
      </c>
      <c r="I75" s="85" t="s">
        <v>185</v>
      </c>
    </row>
    <row r="76" spans="2:9" x14ac:dyDescent="0.25">
      <c r="B76" s="80">
        <v>2</v>
      </c>
      <c r="C76" s="80">
        <v>2</v>
      </c>
      <c r="D76" s="80">
        <v>1</v>
      </c>
      <c r="E76" s="80">
        <v>4</v>
      </c>
      <c r="F76" s="80">
        <v>0</v>
      </c>
      <c r="G76" s="83">
        <v>75</v>
      </c>
      <c r="H76" s="84" t="s">
        <v>111</v>
      </c>
      <c r="I76" s="85" t="s">
        <v>186</v>
      </c>
    </row>
    <row r="77" spans="2:9" x14ac:dyDescent="0.25">
      <c r="B77" s="80">
        <v>3</v>
      </c>
      <c r="C77" s="80">
        <v>2</v>
      </c>
      <c r="D77" s="80">
        <v>1</v>
      </c>
      <c r="E77" s="80">
        <v>4</v>
      </c>
      <c r="F77" s="80">
        <v>0</v>
      </c>
      <c r="G77" s="83">
        <v>76</v>
      </c>
      <c r="H77" s="84" t="s">
        <v>111</v>
      </c>
      <c r="I77" s="85" t="s">
        <v>187</v>
      </c>
    </row>
    <row r="78" spans="2:9" x14ac:dyDescent="0.25">
      <c r="B78" s="80">
        <v>0</v>
      </c>
      <c r="C78" s="80">
        <v>3</v>
      </c>
      <c r="D78" s="80">
        <v>1</v>
      </c>
      <c r="E78" s="80">
        <v>4</v>
      </c>
      <c r="F78" s="80">
        <v>0</v>
      </c>
      <c r="G78" s="83">
        <v>77</v>
      </c>
      <c r="H78" s="84" t="s">
        <v>111</v>
      </c>
      <c r="I78" s="85" t="s">
        <v>188</v>
      </c>
    </row>
    <row r="79" spans="2:9" x14ac:dyDescent="0.25">
      <c r="B79" s="80">
        <v>1</v>
      </c>
      <c r="C79" s="80">
        <v>3</v>
      </c>
      <c r="D79" s="80">
        <v>1</v>
      </c>
      <c r="E79" s="80">
        <v>4</v>
      </c>
      <c r="F79" s="80">
        <v>0</v>
      </c>
      <c r="G79" s="83">
        <v>78</v>
      </c>
      <c r="H79" s="84" t="s">
        <v>111</v>
      </c>
      <c r="I79" s="85" t="s">
        <v>189</v>
      </c>
    </row>
    <row r="80" spans="2:9" x14ac:dyDescent="0.25">
      <c r="B80" s="80">
        <v>2</v>
      </c>
      <c r="C80" s="80">
        <v>3</v>
      </c>
      <c r="D80" s="80">
        <v>1</v>
      </c>
      <c r="E80" s="80">
        <v>4</v>
      </c>
      <c r="F80" s="80">
        <v>0</v>
      </c>
      <c r="G80" s="83">
        <v>79</v>
      </c>
      <c r="H80" s="84" t="s">
        <v>111</v>
      </c>
      <c r="I80" s="85" t="s">
        <v>190</v>
      </c>
    </row>
    <row r="81" spans="2:9" x14ac:dyDescent="0.25">
      <c r="B81" s="80">
        <v>3</v>
      </c>
      <c r="C81" s="80">
        <v>3</v>
      </c>
      <c r="D81" s="80">
        <v>1</v>
      </c>
      <c r="E81" s="80">
        <v>4</v>
      </c>
      <c r="F81" s="80">
        <v>0</v>
      </c>
      <c r="G81" s="83">
        <v>80</v>
      </c>
      <c r="H81" s="84" t="s">
        <v>111</v>
      </c>
      <c r="I81" s="85" t="s">
        <v>191</v>
      </c>
    </row>
    <row r="82" spans="2:9" x14ac:dyDescent="0.25">
      <c r="B82" s="80">
        <v>0</v>
      </c>
      <c r="C82" s="80">
        <v>0</v>
      </c>
      <c r="D82" s="80">
        <v>1</v>
      </c>
      <c r="E82" s="80">
        <v>5</v>
      </c>
      <c r="F82" s="80">
        <v>0</v>
      </c>
      <c r="G82" s="83">
        <v>81</v>
      </c>
      <c r="H82" s="84" t="s">
        <v>111</v>
      </c>
      <c r="I82" s="85" t="s">
        <v>192</v>
      </c>
    </row>
    <row r="83" spans="2:9" x14ac:dyDescent="0.25">
      <c r="B83" s="80">
        <v>1</v>
      </c>
      <c r="C83" s="80">
        <v>0</v>
      </c>
      <c r="D83" s="80">
        <v>1</v>
      </c>
      <c r="E83" s="80">
        <v>5</v>
      </c>
      <c r="F83" s="80">
        <v>0</v>
      </c>
      <c r="G83" s="83">
        <v>82</v>
      </c>
      <c r="H83" s="84" t="s">
        <v>111</v>
      </c>
      <c r="I83" s="85" t="s">
        <v>193</v>
      </c>
    </row>
    <row r="84" spans="2:9" x14ac:dyDescent="0.25">
      <c r="B84" s="80">
        <v>2</v>
      </c>
      <c r="C84" s="80">
        <v>0</v>
      </c>
      <c r="D84" s="80">
        <v>1</v>
      </c>
      <c r="E84" s="80">
        <v>5</v>
      </c>
      <c r="F84" s="80">
        <v>0</v>
      </c>
      <c r="G84" s="83">
        <v>83</v>
      </c>
      <c r="H84" s="84" t="s">
        <v>111</v>
      </c>
      <c r="I84" s="85" t="s">
        <v>194</v>
      </c>
    </row>
    <row r="85" spans="2:9" x14ac:dyDescent="0.25">
      <c r="B85" s="80">
        <v>3</v>
      </c>
      <c r="C85" s="80">
        <v>0</v>
      </c>
      <c r="D85" s="80">
        <v>1</v>
      </c>
      <c r="E85" s="80">
        <v>5</v>
      </c>
      <c r="F85" s="80">
        <v>0</v>
      </c>
      <c r="G85" s="83">
        <v>84</v>
      </c>
      <c r="H85" s="84" t="s">
        <v>111</v>
      </c>
      <c r="I85" s="85" t="s">
        <v>195</v>
      </c>
    </row>
    <row r="86" spans="2:9" x14ac:dyDescent="0.25">
      <c r="B86" s="80">
        <v>0</v>
      </c>
      <c r="C86" s="80">
        <v>1</v>
      </c>
      <c r="D86" s="80">
        <v>1</v>
      </c>
      <c r="E86" s="80">
        <v>5</v>
      </c>
      <c r="F86" s="80">
        <v>0</v>
      </c>
      <c r="G86" s="83">
        <v>85</v>
      </c>
      <c r="H86" s="84" t="s">
        <v>111</v>
      </c>
      <c r="I86" s="85" t="s">
        <v>196</v>
      </c>
    </row>
    <row r="87" spans="2:9" x14ac:dyDescent="0.25">
      <c r="B87" s="80">
        <v>1</v>
      </c>
      <c r="C87" s="80">
        <v>1</v>
      </c>
      <c r="D87" s="80">
        <v>1</v>
      </c>
      <c r="E87" s="80">
        <v>5</v>
      </c>
      <c r="F87" s="80">
        <v>0</v>
      </c>
      <c r="G87" s="83">
        <v>86</v>
      </c>
      <c r="H87" s="84" t="s">
        <v>111</v>
      </c>
      <c r="I87" s="85" t="s">
        <v>197</v>
      </c>
    </row>
    <row r="88" spans="2:9" x14ac:dyDescent="0.25">
      <c r="B88" s="80">
        <v>2</v>
      </c>
      <c r="C88" s="80">
        <v>1</v>
      </c>
      <c r="D88" s="80">
        <v>1</v>
      </c>
      <c r="E88" s="80">
        <v>5</v>
      </c>
      <c r="F88" s="80">
        <v>0</v>
      </c>
      <c r="G88" s="83">
        <v>87</v>
      </c>
      <c r="H88" s="84" t="s">
        <v>111</v>
      </c>
      <c r="I88" s="85" t="s">
        <v>198</v>
      </c>
    </row>
    <row r="89" spans="2:9" x14ac:dyDescent="0.25">
      <c r="B89" s="80">
        <v>3</v>
      </c>
      <c r="C89" s="80">
        <v>1</v>
      </c>
      <c r="D89" s="80">
        <v>1</v>
      </c>
      <c r="E89" s="80">
        <v>5</v>
      </c>
      <c r="F89" s="80">
        <v>0</v>
      </c>
      <c r="G89" s="83">
        <v>88</v>
      </c>
      <c r="H89" s="84" t="s">
        <v>111</v>
      </c>
      <c r="I89" s="85" t="s">
        <v>199</v>
      </c>
    </row>
    <row r="90" spans="2:9" x14ac:dyDescent="0.25">
      <c r="B90" s="80">
        <v>0</v>
      </c>
      <c r="C90" s="80">
        <v>2</v>
      </c>
      <c r="D90" s="80">
        <v>1</v>
      </c>
      <c r="E90" s="80">
        <v>5</v>
      </c>
      <c r="F90" s="80">
        <v>0</v>
      </c>
      <c r="G90" s="83">
        <v>89</v>
      </c>
      <c r="H90" s="84" t="s">
        <v>111</v>
      </c>
      <c r="I90" s="85" t="s">
        <v>200</v>
      </c>
    </row>
    <row r="91" spans="2:9" x14ac:dyDescent="0.25">
      <c r="B91" s="80">
        <v>1</v>
      </c>
      <c r="C91" s="80">
        <v>2</v>
      </c>
      <c r="D91" s="80">
        <v>1</v>
      </c>
      <c r="E91" s="80">
        <v>5</v>
      </c>
      <c r="F91" s="80">
        <v>0</v>
      </c>
      <c r="G91" s="83">
        <v>90</v>
      </c>
      <c r="H91" s="84" t="s">
        <v>111</v>
      </c>
      <c r="I91" s="85" t="s">
        <v>201</v>
      </c>
    </row>
    <row r="92" spans="2:9" x14ac:dyDescent="0.25">
      <c r="B92" s="80">
        <v>2</v>
      </c>
      <c r="C92" s="80">
        <v>2</v>
      </c>
      <c r="D92" s="80">
        <v>1</v>
      </c>
      <c r="E92" s="80">
        <v>5</v>
      </c>
      <c r="F92" s="80">
        <v>0</v>
      </c>
      <c r="G92" s="83">
        <v>91</v>
      </c>
      <c r="H92" s="84" t="s">
        <v>111</v>
      </c>
      <c r="I92" s="85" t="s">
        <v>202</v>
      </c>
    </row>
    <row r="93" spans="2:9" x14ac:dyDescent="0.25">
      <c r="B93" s="80">
        <v>3</v>
      </c>
      <c r="C93" s="80">
        <v>2</v>
      </c>
      <c r="D93" s="80">
        <v>1</v>
      </c>
      <c r="E93" s="80">
        <v>5</v>
      </c>
      <c r="F93" s="80">
        <v>0</v>
      </c>
      <c r="G93" s="83">
        <v>92</v>
      </c>
      <c r="H93" s="84" t="s">
        <v>111</v>
      </c>
      <c r="I93" s="85" t="s">
        <v>203</v>
      </c>
    </row>
    <row r="94" spans="2:9" x14ac:dyDescent="0.25">
      <c r="B94" s="80">
        <v>0</v>
      </c>
      <c r="C94" s="80">
        <v>3</v>
      </c>
      <c r="D94" s="80">
        <v>1</v>
      </c>
      <c r="E94" s="80">
        <v>5</v>
      </c>
      <c r="F94" s="80">
        <v>0</v>
      </c>
      <c r="G94" s="83">
        <v>93</v>
      </c>
      <c r="H94" s="84" t="s">
        <v>111</v>
      </c>
      <c r="I94" s="85" t="s">
        <v>204</v>
      </c>
    </row>
    <row r="95" spans="2:9" x14ac:dyDescent="0.25">
      <c r="B95" s="80">
        <v>1</v>
      </c>
      <c r="C95" s="80">
        <v>3</v>
      </c>
      <c r="D95" s="80">
        <v>1</v>
      </c>
      <c r="E95" s="80">
        <v>5</v>
      </c>
      <c r="F95" s="80">
        <v>0</v>
      </c>
      <c r="G95" s="83">
        <v>94</v>
      </c>
      <c r="H95" s="84" t="s">
        <v>111</v>
      </c>
      <c r="I95" s="85" t="s">
        <v>205</v>
      </c>
    </row>
    <row r="96" spans="2:9" x14ac:dyDescent="0.25">
      <c r="B96" s="80">
        <v>2</v>
      </c>
      <c r="C96" s="80">
        <v>3</v>
      </c>
      <c r="D96" s="80">
        <v>1</v>
      </c>
      <c r="E96" s="80">
        <v>5</v>
      </c>
      <c r="F96" s="80">
        <v>0</v>
      </c>
      <c r="G96" s="83">
        <v>95</v>
      </c>
      <c r="H96" s="84" t="s">
        <v>111</v>
      </c>
      <c r="I96" s="85" t="s">
        <v>206</v>
      </c>
    </row>
    <row r="97" spans="2:9" x14ac:dyDescent="0.25">
      <c r="B97" s="80">
        <v>3</v>
      </c>
      <c r="C97" s="80">
        <v>3</v>
      </c>
      <c r="D97" s="80">
        <v>1</v>
      </c>
      <c r="E97" s="80">
        <v>5</v>
      </c>
      <c r="F97" s="80">
        <v>0</v>
      </c>
      <c r="G97" s="83">
        <v>96</v>
      </c>
      <c r="H97" s="84" t="s">
        <v>111</v>
      </c>
      <c r="I97" s="85" t="s">
        <v>207</v>
      </c>
    </row>
    <row r="98" spans="2:9" x14ac:dyDescent="0.25">
      <c r="B98" s="80">
        <v>0</v>
      </c>
      <c r="C98" s="80">
        <v>0</v>
      </c>
      <c r="D98" s="80">
        <v>1</v>
      </c>
      <c r="E98" s="80">
        <v>6</v>
      </c>
      <c r="F98" s="80">
        <v>0</v>
      </c>
      <c r="G98" s="83">
        <v>97</v>
      </c>
      <c r="H98" s="84" t="s">
        <v>111</v>
      </c>
      <c r="I98" s="85" t="s">
        <v>208</v>
      </c>
    </row>
    <row r="99" spans="2:9" x14ac:dyDescent="0.25">
      <c r="B99" s="80">
        <v>1</v>
      </c>
      <c r="C99" s="80">
        <v>0</v>
      </c>
      <c r="D99" s="80">
        <v>1</v>
      </c>
      <c r="E99" s="80">
        <v>6</v>
      </c>
      <c r="F99" s="80">
        <v>0</v>
      </c>
      <c r="G99" s="83">
        <v>98</v>
      </c>
      <c r="H99" s="84" t="s">
        <v>111</v>
      </c>
      <c r="I99" s="85" t="s">
        <v>209</v>
      </c>
    </row>
    <row r="100" spans="2:9" x14ac:dyDescent="0.25">
      <c r="B100" s="80">
        <v>2</v>
      </c>
      <c r="C100" s="80">
        <v>0</v>
      </c>
      <c r="D100" s="80">
        <v>1</v>
      </c>
      <c r="E100" s="80">
        <v>6</v>
      </c>
      <c r="F100" s="80">
        <v>0</v>
      </c>
      <c r="G100" s="83">
        <v>99</v>
      </c>
      <c r="H100" s="84" t="s">
        <v>111</v>
      </c>
      <c r="I100" s="85" t="s">
        <v>210</v>
      </c>
    </row>
    <row r="101" spans="2:9" x14ac:dyDescent="0.25">
      <c r="B101" s="80">
        <v>3</v>
      </c>
      <c r="C101" s="80">
        <v>0</v>
      </c>
      <c r="D101" s="80">
        <v>1</v>
      </c>
      <c r="E101" s="80">
        <v>6</v>
      </c>
      <c r="F101" s="80">
        <v>0</v>
      </c>
      <c r="G101" s="83">
        <v>100</v>
      </c>
      <c r="H101" s="84" t="s">
        <v>111</v>
      </c>
      <c r="I101" s="85" t="s">
        <v>211</v>
      </c>
    </row>
    <row r="102" spans="2:9" x14ac:dyDescent="0.25">
      <c r="B102" s="80">
        <v>0</v>
      </c>
      <c r="C102" s="80">
        <v>1</v>
      </c>
      <c r="D102" s="80">
        <v>1</v>
      </c>
      <c r="E102" s="80">
        <v>6</v>
      </c>
      <c r="F102" s="80">
        <v>0</v>
      </c>
      <c r="G102" s="83">
        <v>101</v>
      </c>
      <c r="H102" s="84" t="s">
        <v>111</v>
      </c>
      <c r="I102" s="85" t="s">
        <v>212</v>
      </c>
    </row>
    <row r="103" spans="2:9" x14ac:dyDescent="0.25">
      <c r="B103" s="80">
        <v>1</v>
      </c>
      <c r="C103" s="80">
        <v>1</v>
      </c>
      <c r="D103" s="80">
        <v>1</v>
      </c>
      <c r="E103" s="80">
        <v>6</v>
      </c>
      <c r="F103" s="80">
        <v>0</v>
      </c>
      <c r="G103" s="83">
        <v>102</v>
      </c>
      <c r="H103" s="84" t="s">
        <v>111</v>
      </c>
      <c r="I103" s="85" t="s">
        <v>213</v>
      </c>
    </row>
    <row r="104" spans="2:9" x14ac:dyDescent="0.25">
      <c r="B104" s="80">
        <v>2</v>
      </c>
      <c r="C104" s="80">
        <v>1</v>
      </c>
      <c r="D104" s="80">
        <v>1</v>
      </c>
      <c r="E104" s="80">
        <v>6</v>
      </c>
      <c r="F104" s="80">
        <v>0</v>
      </c>
      <c r="G104" s="83">
        <v>103</v>
      </c>
      <c r="H104" s="84" t="s">
        <v>111</v>
      </c>
      <c r="I104" s="85" t="s">
        <v>214</v>
      </c>
    </row>
    <row r="105" spans="2:9" x14ac:dyDescent="0.25">
      <c r="B105" s="80">
        <v>3</v>
      </c>
      <c r="C105" s="80">
        <v>1</v>
      </c>
      <c r="D105" s="80">
        <v>1</v>
      </c>
      <c r="E105" s="80">
        <v>6</v>
      </c>
      <c r="F105" s="80">
        <v>0</v>
      </c>
      <c r="G105" s="83">
        <v>104</v>
      </c>
      <c r="H105" s="84" t="s">
        <v>111</v>
      </c>
      <c r="I105" s="85" t="s">
        <v>215</v>
      </c>
    </row>
    <row r="106" spans="2:9" x14ac:dyDescent="0.25">
      <c r="B106" s="80">
        <v>0</v>
      </c>
      <c r="C106" s="80">
        <v>2</v>
      </c>
      <c r="D106" s="80">
        <v>1</v>
      </c>
      <c r="E106" s="80">
        <v>6</v>
      </c>
      <c r="F106" s="80">
        <v>0</v>
      </c>
      <c r="G106" s="83">
        <v>105</v>
      </c>
      <c r="H106" s="84" t="s">
        <v>111</v>
      </c>
      <c r="I106" s="85" t="s">
        <v>216</v>
      </c>
    </row>
    <row r="107" spans="2:9" x14ac:dyDescent="0.25">
      <c r="B107" s="80">
        <v>1</v>
      </c>
      <c r="C107" s="80">
        <v>2</v>
      </c>
      <c r="D107" s="80">
        <v>1</v>
      </c>
      <c r="E107" s="80">
        <v>6</v>
      </c>
      <c r="F107" s="80">
        <v>0</v>
      </c>
      <c r="G107" s="83">
        <v>106</v>
      </c>
      <c r="H107" s="84" t="s">
        <v>111</v>
      </c>
      <c r="I107" s="85" t="s">
        <v>217</v>
      </c>
    </row>
    <row r="108" spans="2:9" x14ac:dyDescent="0.25">
      <c r="B108" s="80">
        <v>2</v>
      </c>
      <c r="C108" s="80">
        <v>2</v>
      </c>
      <c r="D108" s="80">
        <v>1</v>
      </c>
      <c r="E108" s="80">
        <v>6</v>
      </c>
      <c r="F108" s="80">
        <v>0</v>
      </c>
      <c r="G108" s="83">
        <v>107</v>
      </c>
      <c r="H108" s="84" t="s">
        <v>111</v>
      </c>
      <c r="I108" s="85" t="s">
        <v>218</v>
      </c>
    </row>
    <row r="109" spans="2:9" x14ac:dyDescent="0.25">
      <c r="B109" s="80">
        <v>3</v>
      </c>
      <c r="C109" s="80">
        <v>2</v>
      </c>
      <c r="D109" s="80">
        <v>1</v>
      </c>
      <c r="E109" s="80">
        <v>6</v>
      </c>
      <c r="F109" s="80">
        <v>0</v>
      </c>
      <c r="G109" s="83">
        <v>108</v>
      </c>
      <c r="H109" s="84" t="s">
        <v>111</v>
      </c>
      <c r="I109" s="85" t="s">
        <v>219</v>
      </c>
    </row>
    <row r="110" spans="2:9" x14ac:dyDescent="0.25">
      <c r="B110" s="80">
        <v>0</v>
      </c>
      <c r="C110" s="80">
        <v>3</v>
      </c>
      <c r="D110" s="80">
        <v>1</v>
      </c>
      <c r="E110" s="80">
        <v>6</v>
      </c>
      <c r="F110" s="80">
        <v>0</v>
      </c>
      <c r="G110" s="83">
        <v>109</v>
      </c>
      <c r="H110" s="84" t="s">
        <v>111</v>
      </c>
      <c r="I110" s="85" t="s">
        <v>220</v>
      </c>
    </row>
    <row r="111" spans="2:9" x14ac:dyDescent="0.25">
      <c r="B111" s="80">
        <v>1</v>
      </c>
      <c r="C111" s="80">
        <v>3</v>
      </c>
      <c r="D111" s="80">
        <v>1</v>
      </c>
      <c r="E111" s="80">
        <v>6</v>
      </c>
      <c r="F111" s="80">
        <v>0</v>
      </c>
      <c r="G111" s="83">
        <v>110</v>
      </c>
      <c r="H111" s="84" t="s">
        <v>111</v>
      </c>
      <c r="I111" s="85" t="s">
        <v>221</v>
      </c>
    </row>
    <row r="112" spans="2:9" x14ac:dyDescent="0.25">
      <c r="B112" s="80">
        <v>2</v>
      </c>
      <c r="C112" s="80">
        <v>3</v>
      </c>
      <c r="D112" s="80">
        <v>1</v>
      </c>
      <c r="E112" s="80">
        <v>6</v>
      </c>
      <c r="F112" s="80">
        <v>0</v>
      </c>
      <c r="G112" s="83">
        <v>111</v>
      </c>
      <c r="H112" s="84" t="s">
        <v>111</v>
      </c>
      <c r="I112" s="85" t="s">
        <v>222</v>
      </c>
    </row>
    <row r="113" spans="2:9" x14ac:dyDescent="0.25">
      <c r="B113" s="80">
        <v>3</v>
      </c>
      <c r="C113" s="80">
        <v>3</v>
      </c>
      <c r="D113" s="80">
        <v>1</v>
      </c>
      <c r="E113" s="80">
        <v>6</v>
      </c>
      <c r="F113" s="80">
        <v>0</v>
      </c>
      <c r="G113" s="83">
        <v>112</v>
      </c>
      <c r="H113" s="84" t="s">
        <v>111</v>
      </c>
      <c r="I113" s="85" t="s">
        <v>223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18"/>
  <sheetViews>
    <sheetView tabSelected="1" workbookViewId="0">
      <selection activeCell="Z3" sqref="Z3:AC3"/>
    </sheetView>
  </sheetViews>
  <sheetFormatPr defaultRowHeight="15" x14ac:dyDescent="0.25"/>
  <cols>
    <col min="1" max="1" width="13.5703125" style="10" customWidth="1"/>
    <col min="2" max="5" width="4.7109375" style="10" customWidth="1"/>
    <col min="6" max="6" width="4.7109375" style="11" customWidth="1"/>
    <col min="7" max="7" width="7.140625" style="11" customWidth="1"/>
    <col min="8" max="37" width="4.7109375" style="11" customWidth="1"/>
    <col min="38" max="41" width="3.140625" style="11" customWidth="1"/>
    <col min="42" max="16384" width="9.140625" style="10"/>
  </cols>
  <sheetData>
    <row r="1" spans="1:51" x14ac:dyDescent="0.25">
      <c r="A1" s="73"/>
      <c r="B1" s="86" t="s">
        <v>33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</row>
    <row r="2" spans="1:51" x14ac:dyDescent="0.25">
      <c r="A2" s="73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</row>
    <row r="3" spans="1:51" s="56" customFormat="1" ht="30.75" customHeight="1" thickBot="1" x14ac:dyDescent="0.3">
      <c r="A3" s="74" t="s">
        <v>0</v>
      </c>
      <c r="B3" s="88">
        <v>0</v>
      </c>
      <c r="C3" s="89"/>
      <c r="D3" s="89"/>
      <c r="E3" s="90"/>
      <c r="F3" s="88">
        <v>0</v>
      </c>
      <c r="G3" s="89"/>
      <c r="H3" s="89"/>
      <c r="I3" s="90"/>
      <c r="J3" s="88">
        <v>0</v>
      </c>
      <c r="K3" s="89"/>
      <c r="L3" s="89"/>
      <c r="M3" s="90"/>
      <c r="N3" s="88">
        <v>0</v>
      </c>
      <c r="O3" s="89"/>
      <c r="P3" s="89"/>
      <c r="Q3" s="90"/>
      <c r="R3" s="88">
        <v>0</v>
      </c>
      <c r="S3" s="89"/>
      <c r="T3" s="89"/>
      <c r="U3" s="90"/>
      <c r="V3" s="88">
        <v>2</v>
      </c>
      <c r="W3" s="89"/>
      <c r="X3" s="89"/>
      <c r="Y3" s="90"/>
      <c r="Z3" s="88">
        <v>0</v>
      </c>
      <c r="AA3" s="89"/>
      <c r="AB3" s="89"/>
      <c r="AC3" s="90"/>
      <c r="AD3" s="88">
        <v>0</v>
      </c>
      <c r="AE3" s="89"/>
      <c r="AF3" s="89"/>
      <c r="AG3" s="90"/>
      <c r="AH3" s="88">
        <v>8</v>
      </c>
      <c r="AI3" s="89"/>
      <c r="AJ3" s="89"/>
      <c r="AK3" s="90"/>
      <c r="AL3" s="55"/>
      <c r="AM3" s="55"/>
      <c r="AN3" s="55"/>
      <c r="AO3" s="55"/>
    </row>
    <row r="4" spans="1:51" ht="15.75" thickBot="1" x14ac:dyDescent="0.3">
      <c r="A4" s="68" t="s">
        <v>1</v>
      </c>
      <c r="B4" s="12">
        <v>35</v>
      </c>
      <c r="C4" s="14">
        <v>34</v>
      </c>
      <c r="D4" s="16">
        <v>33</v>
      </c>
      <c r="E4" s="17">
        <v>32</v>
      </c>
      <c r="F4" s="17">
        <v>31</v>
      </c>
      <c r="G4" s="17">
        <v>30</v>
      </c>
      <c r="H4" s="17">
        <v>29</v>
      </c>
      <c r="I4" s="17">
        <v>28</v>
      </c>
      <c r="J4" s="17">
        <v>0</v>
      </c>
      <c r="K4" s="17">
        <v>26</v>
      </c>
      <c r="L4" s="17">
        <v>25</v>
      </c>
      <c r="M4" s="17">
        <v>24</v>
      </c>
      <c r="N4" s="17">
        <v>23</v>
      </c>
      <c r="O4" s="17">
        <v>22</v>
      </c>
      <c r="P4" s="17">
        <v>21</v>
      </c>
      <c r="Q4" s="17">
        <v>20</v>
      </c>
      <c r="R4" s="17">
        <v>19</v>
      </c>
      <c r="S4" s="17">
        <v>18</v>
      </c>
      <c r="T4" s="17">
        <v>17</v>
      </c>
      <c r="U4" s="17">
        <v>16</v>
      </c>
      <c r="V4" s="17">
        <v>15</v>
      </c>
      <c r="W4" s="17">
        <v>14</v>
      </c>
      <c r="X4" s="17">
        <v>13</v>
      </c>
      <c r="Y4" s="17">
        <v>12</v>
      </c>
      <c r="Z4" s="17">
        <v>11</v>
      </c>
      <c r="AA4" s="17">
        <v>10</v>
      </c>
      <c r="AB4" s="17">
        <v>9</v>
      </c>
      <c r="AC4" s="17">
        <v>8</v>
      </c>
      <c r="AD4" s="17">
        <v>7</v>
      </c>
      <c r="AE4" s="17">
        <v>6</v>
      </c>
      <c r="AF4" s="17">
        <v>5</v>
      </c>
      <c r="AG4" s="17">
        <v>4</v>
      </c>
      <c r="AH4" s="17">
        <v>3</v>
      </c>
      <c r="AI4" s="17">
        <v>2</v>
      </c>
      <c r="AJ4" s="17">
        <v>1</v>
      </c>
      <c r="AK4" s="18">
        <v>0</v>
      </c>
    </row>
    <row r="5" spans="1:51" ht="15.75" thickBot="1" x14ac:dyDescent="0.3">
      <c r="A5" s="67" t="s">
        <v>2</v>
      </c>
      <c r="B5" s="13">
        <f>IF(B3=0,0,IF(B3=1,0,IF(B3=2,0,IF(B3=3,0,IF(B3=4,0,IF(B3=5,0,IF(B3=6,0,IF(B3=7,0,IF(B3=8,1,IF(B3=9,1,IF(B3="A",1,IF(B3="B",1,IF(B3="C",1,IF(B3="D",1,IF(B3="E",1,IF(B3="F",1,1))))))))))))))))</f>
        <v>0</v>
      </c>
      <c r="C5" s="15">
        <f>IF(B3=0,0,IF(B3=1,0,IF(B3=2,0,IF(B3=3,0,IF(B3=4,1,IF(B3=5,1,IF(B3=6,1,IF(B3=7,1,IF(B3=8,0,IF(B3=9,0,IF(B3="A",0,IF(B3="B",0,IF(B3="C",1,IF(B3="D",1,IF(B3="E",1,IF(B3="F",1,1))))))))))))))))</f>
        <v>0</v>
      </c>
      <c r="D5" s="19">
        <f>IF(B3=0,0,IF(B3=1,0,IF(B3=2,1,IF(B3=3,1,IF(B3=4,0,IF(B3=5,0,IF(B3=6,1,IF(B3=7,1,IF(B3=8,0,IF(B3=9,0,IF(B3="A",1,IF(B3="B",1,IF(B3="C",0,IF(B3="D",0,IF(B3="E",1,IF(B3="F",1,1))))))))))))))))</f>
        <v>0</v>
      </c>
      <c r="E5" s="20">
        <f>IF(B3=0,0,IF(B3=1,1,IF(B3=2,0,IF(B3=3,1,IF(B3=4,0,IF(B3=5,1,IF(B3=6,0,IF(B3=7,1,IF(B3=8,0,IF(B3=9,1,IF(B3="A",0,IF(B3="B",1,IF(B3="C",0,IF(B3="D",1,IF(B3="E",0,IF(B3="F",1,1))))))))))))))))</f>
        <v>0</v>
      </c>
      <c r="F5" s="20">
        <f>IF(F3=0,0,IF(F3=1,0,IF(F3=2,0,IF(F3=3,0,IF(F3=4,0,IF(F3=5,0,IF(F3=6,0,IF(F3=7,0,IF(F3=8,1,IF(F3=9,1,IF(F3="A",1,IF(F3="B",1,IF(F3="C",1,IF(F3="D",1,IF(F3="E",1,IF(F3="F",1,1))))))))))))))))</f>
        <v>0</v>
      </c>
      <c r="G5" s="20">
        <f>IF(F3=0,0,IF(F3=1,0,IF(F3=2,0,IF(F3=3,0,IF(F3=4,1,IF(F3=5,1,IF(F3=6,1,IF(F3=7,1,IF(F3=8,0,IF(F3=9,0,IF(F3="A",0,IF(F3="B",0,IF(F3="C",1,IF(F3="D",1,IF(F3="E",1,IF(F3="F",1,1))))))))))))))))</f>
        <v>0</v>
      </c>
      <c r="H5" s="20">
        <f>IF(F3=0,0,IF(F3=1,0,IF(F3=2,1,IF(F3=3,1,IF(F3=4,0,IF(F3=5,0,IF(F3=6,1,IF(F3=7,1,IF(F3=8,0,IF(F3=9,0,IF(F3="A",1,IF(F3="B",1,IF(F3="C",0,IF(F3="D",0,IF(F3="E",1,IF(F3="F",1,1))))))))))))))))</f>
        <v>0</v>
      </c>
      <c r="I5" s="20">
        <f>IF(F3=0,0,IF(F3=1,1,IF(F3=2,0,IF(F3=3,1,IF(F3=4,0,IF(F3=5,1,IF(F3=6,0,IF(F3=7,1,IF(F3=8,0,IF(F3=9,1,IF(F3="A",0,IF(F3="B",1,IF(F3="C",0,IF(F3="D",1,IF(F3="E",0,IF(F3="F",1,1))))))))))))))))</f>
        <v>0</v>
      </c>
      <c r="J5" s="20">
        <f>IF(J3=0,0,IF(J3=1,0,IF(J3=2,0,IF(J3=3,0,IF(J3=4,0,IF(J3=5,0,IF(J3=6,0,IF(J3=7,0,IF(J3=8,1,IF(J3=9,1,IF(J3="A",1,IF(J3="B",1,IF(J3="C",1,IF(J3="D",1,IF(J3="E",1,IF(J3="F",1,1))))))))))))))))</f>
        <v>0</v>
      </c>
      <c r="K5" s="20">
        <f>IF(J3=0,0,IF(J3=1,0,IF(J3=2,0,IF(J3=3,0,IF(J3=4,1,IF(J3=5,1,IF(J3=6,1,IF(J3=7,1,IF(J3=8,0,IF(J3=9,0,IF(J3="A",0,IF(J3="B",0,IF(J3="C",1,IF(J3="D",1,IF(J3="E",1,IF(J3="F",1,1))))))))))))))))</f>
        <v>0</v>
      </c>
      <c r="L5" s="20">
        <f>IF(J3=0,0,IF(J3=1,0,IF(J3=2,1,IF(J3=3,1,IF(J3=4,0,IF(J3=5,0,IF(J3=6,1,IF(J3=7,1,IF(J3=8,0,IF(J3=9,0,IF(J3="A",1,IF(J3="B",1,IF(J3="C",0,IF(J3="D",0,IF(J3="E",1,IF(J3="F",1,1))))))))))))))))</f>
        <v>0</v>
      </c>
      <c r="M5" s="20">
        <f>IF(J3=0,0,IF(J3=1,1,IF(J3=2,0,IF(J3=3,1,IF(J3=4,0,IF(J3=5,1,IF(J3=6,0,IF(J3=7,1,IF(J3=8,0,IF(J3=9,1,IF(J3="A",0,IF(J3="B",1,IF(J3="C",0,IF(J3="D",1,IF(J3="E",0,IF(J3="F",1,1))))))))))))))))</f>
        <v>0</v>
      </c>
      <c r="N5" s="20">
        <f>IF(N3=0,0,IF(N3=1,0,IF(N3=2,0,IF(N3=3,0,IF(N3=4,0,IF(N3=5,0,IF(N3=6,0,IF(N3=7,0,IF(N3=8,1,IF(N3=9,1,IF(N3="A",1,IF(N3="B",1,IF(N3="C",1,IF(N3="D",1,IF(N3="E",1,IF(N3="F",1,1))))))))))))))))</f>
        <v>0</v>
      </c>
      <c r="O5" s="20">
        <f>IF(N3=0,0,IF(N3=1,0,IF(N3=2,0,IF(N3=3,0,IF(N3=4,1,IF(N3=5,1,IF(N3=6,1,IF(N3=7,1,IF(N3=8,0,IF(N3=9,0,IF(N3="A",0,IF(N3="B",0,IF(N3="C",1,IF(N3="D",1,IF(N3="E",1,IF(N3="F",1,1))))))))))))))))</f>
        <v>0</v>
      </c>
      <c r="P5" s="20">
        <f>IF(N3=0,0,IF(N3=1,0,IF(N3=2,1,IF(N3=3,1,IF(N3=4,0,IF(N3=5,0,IF(N3=6,1,IF(N3=7,1,IF(N3=8,0,IF(N3=9,0,IF(N3="A",1,IF(N3="B",1,IF(N3="C",0,IF(N3="D",0,IF(N3="E",1,IF(N3="F",1,1))))))))))))))))</f>
        <v>0</v>
      </c>
      <c r="Q5" s="20">
        <f>IF(N3=0,0,IF(N3=1,1,IF(N3=2,0,IF(N3=3,1,IF(N3=4,0,IF(N3=5,1,IF(N3=6,0,IF(N3=7,1,IF(N3=8,0,IF(N3=9,1,IF(N3="A",0,IF(N3="B",1,IF(N3="C",0,IF(N3="D",1,IF(N3="E",0,IF(N3="F",1,1))))))))))))))))</f>
        <v>0</v>
      </c>
      <c r="R5" s="20">
        <f>IF(R3=0,0,IF(R3=1,0,IF(R3=2,0,IF(R3=3,0,IF(R3=4,0,IF(R3=5,0,IF(R3=6,0,IF(R3=7,0,IF(R3=8,1,IF(R3=9,1,IF(R3="A",1,IF(R3="B",1,IF(R3="C",1,IF(R3="D",1,IF(R3="E",1,IF(R3="F",1,1))))))))))))))))</f>
        <v>0</v>
      </c>
      <c r="S5" s="20">
        <f>IF(R3=0,0,IF(R3=1,0,IF(R3=2,0,IF(R3=3,0,IF(R3=4,1,IF(R3=5,1,IF(R3=6,1,IF(R3=7,1,IF(R3=8,0,IF(R3=9,0,IF(R3="A",0,IF(R3="B",0,IF(R3="C",1,IF(R3="D",1,IF(R3="E",1,IF(R3="F",1,1))))))))))))))))</f>
        <v>0</v>
      </c>
      <c r="T5" s="20">
        <f>IF(R3=0,0,IF(R3=1,0,IF(R3=2,1,IF(R3=3,1,IF(R3=4,0,IF(R3=5,0,IF(R3=6,1,IF(R3=7,1,IF(R3=8,0,IF(R3=9,0,IF(R3="A",1,IF(R3="B",1,IF(R3="C",0,IF(R3="D",0,IF(R3="E",1,IF(R3="F",1,1))))))))))))))))</f>
        <v>0</v>
      </c>
      <c r="U5" s="20">
        <f>IF(R3=0,0,IF(R3=1,1,IF(R3=2,0,IF(R3=3,1,IF(R3=4,0,IF(R3=5,1,IF(R3=6,0,IF(R3=7,1,IF(R3=8,0,IF(R3=9,1,IF(R3="A",0,IF(R3="B",1,IF(R3="C",0,IF(R3="D",1,IF(R3="E",0,IF(R3="F",1,1))))))))))))))))</f>
        <v>0</v>
      </c>
      <c r="V5" s="20">
        <f>IF(V3=0,0,IF(V3=1,0,IF(V3=2,0,IF(V3=3,0,IF(V3=4,0,IF(V3=5,0,IF(V3=6,0,IF(V3=7,0,IF(V3=8,1,IF(V3=9,1,IF(V3="A",1,IF(V3="B",1,IF(V3="C",1,IF(V3="D",1,IF(V3="E",1,IF(V3="F",1,1))))))))))))))))</f>
        <v>0</v>
      </c>
      <c r="W5" s="20">
        <f>IF(V3=0,0,IF(V3=1,0,IF(V3=2,0,IF(V3=3,0,IF(V3=4,1,IF(V3=5,1,IF(V3=6,1,IF(V3=7,1,IF(V3=8,0,IF(V3=9,0,IF(V3="A",0,IF(V3="B",0,IF(V3="C",1,IF(V3="D",1,IF(V3="E",1,IF(V3="F",1,1))))))))))))))))</f>
        <v>0</v>
      </c>
      <c r="X5" s="20">
        <f>IF(V3=0,0,IF(V3=1,0,IF(V3=2,1,IF(V3=3,1,IF(V3=4,0,IF(V3=5,0,IF(V3=6,1,IF(V3=7,1,IF(V3=8,0,IF(V3=9,0,IF(V3="A",1,IF(V3="B",1,IF(V3="C",0,IF(V3="D",0,IF(V3="E",1,IF(V3="F",1,1))))))))))))))))</f>
        <v>1</v>
      </c>
      <c r="Y5" s="20">
        <f>IF(V3=0,0,IF(V3=1,1,IF(V3=2,0,IF(V3=3,1,IF(V3=4,0,IF(V3=5,1,IF(V3=6,0,IF(V3=7,1,IF(V3=8,0,IF(V3=9,1,IF(V3="A",0,IF(V3="B",1,IF(V3="C",0,IF(V3="D",1,IF(V3="E",0,IF(V3="F",1,1))))))))))))))))</f>
        <v>0</v>
      </c>
      <c r="Z5" s="20">
        <f>IF(Z3=0,0,IF(Z3=1,0,IF(Z3=2,0,IF(Z3=3,0,IF(Z3=4,0,IF(Z3=5,0,IF(Z3=6,0,IF(Z3=7,0,IF(Z3=8,1,IF(Z3=9,1,IF(Z3="A",1,IF(Z3="B",1,IF(Z3="C",1,IF(Z3="D",1,IF(Z3="E",1,IF(Z3="F",1,1))))))))))))))))</f>
        <v>0</v>
      </c>
      <c r="AA5" s="20">
        <f>IF(Z3=0,0,IF(Z3=1,0,IF(Z3=2,0,IF(Z3=3,0,IF(Z3=4,1,IF(Z3=5,1,IF(Z3=6,1,IF(Z3=7,1,IF(Z3=8,0,IF(Z3=9,0,IF(Z3="A",0,IF(Z3="B",0,IF(Z3="C",1,IF(Z3="D",1,IF(Z3="E",1,IF(Z3="F",1,1))))))))))))))))</f>
        <v>0</v>
      </c>
      <c r="AB5" s="20">
        <f>IF(Z3=0,0,IF(Z3=1,0,IF(Z3=2,1,IF(Z3=3,1,IF(Z3=4,0,IF(Z3=5,0,IF(Z3=6,1,IF(Z3=7,1,IF(Z3=8,0,IF(Z3=9,0,IF(Z3="A",1,IF(Z3="B",1,IF(Z3="C",0,IF(Z3="D",0,IF(Z3="E",1,IF(Z3="F",1,1))))))))))))))))</f>
        <v>0</v>
      </c>
      <c r="AC5" s="20">
        <f>IF(Z3=0,0,IF(Z3=1,1,IF(Z3=2,0,IF(Z3=3,1,IF(Z3=4,0,IF(Z3=5,1,IF(Z3=6,0,IF(Z3=7,1,IF(Z3=8,0,IF(Z3=9,1,IF(Z3="A",0,IF(Z3="B",1,IF(Z3="C",0,IF(Z3="D",1,IF(Z3="E",0,IF(Z3="F",1,1))))))))))))))))</f>
        <v>0</v>
      </c>
      <c r="AD5" s="20">
        <f>IF(AD3=0,0,IF(AD3=1,0,IF(AD3=2,0,IF(AD3=3,0,IF(AD3=4,0,IF(AD3=5,0,IF(AD3=6,0,IF(AD3=7,0,IF(AD3=8,1,IF(AD3=9,1,IF(AD3="A",1,IF(AD3="B",1,IF(AD3="C",1,IF(AD3="D",1,IF(AD3="E",1,IF(AD3="F",1,1))))))))))))))))</f>
        <v>0</v>
      </c>
      <c r="AE5" s="20">
        <f>IF(AD3=0,0,IF(AD3=1,0,IF(AD3=2,0,IF(AD3=3,0,IF(AD3=4,1,IF(AD3=5,1,IF(AD3=6,1,IF(AD3=7,1,IF(AD3=8,0,IF(AD3=9,0,IF(AD3="A",0,IF(AD3="B",0,IF(AD3="C",1,IF(AD3="D",1,IF(AD3="E",1,IF(AD3="F",1,1))))))))))))))))</f>
        <v>0</v>
      </c>
      <c r="AF5" s="20">
        <f>IF(AD3=0,0,IF(AD3=1,0,IF(AD3=2,1,IF(AD3=3,1,IF(AD3=4,0,IF(AD3=5,0,IF(AD3=6,1,IF(AD3=7,1,IF(AD3=8,0,IF(AD3=9,0,IF(AD3="A",1,IF(AD3="B",1,IF(AD3="C",0,IF(AD3="D",0,IF(AD3="E",1,IF(AD3="F",1,1))))))))))))))))</f>
        <v>0</v>
      </c>
      <c r="AG5" s="20">
        <f>IF(AD3=0,0,IF(AD3=1,1,IF(AD3=2,0,IF(AD3=3,1,IF(AD3=4,0,IF(AD3=5,1,IF(AD3=6,0,IF(AD3=7,1,IF(AD3=8,0,IF(AD3=9,1,IF(AD3="A",0,IF(AD3="B",1,IF(AD3="C",0,IF(AD3="D",1,IF(AD3="E",0,IF(AD3="F",1,1))))))))))))))))</f>
        <v>0</v>
      </c>
      <c r="AH5" s="20">
        <f>IF(AH3=0,0,IF(AH3=1,0,IF(AH3=2,0,IF(AH3=3,0,IF(AH3=4,0,IF(AH3=5,0,IF(AH3=6,0,IF(AH3=7,0,IF(AH3=8,1,IF(AH3=9,1,IF(AH3="A",1,IF(AH3="B",1,IF(AH3="C",1,IF(AH3="D",1,IF(AH3="E",1,IF(AH3="F",1,1))))))))))))))))</f>
        <v>1</v>
      </c>
      <c r="AI5" s="20">
        <f>IF(AH3=0,0,IF(AH3=1,0,IF(AH3=2,0,IF(AH3=3,0,IF(AH3=4,1,IF(AH3=5,1,IF(AH3=6,1,IF(AH3=7,1,IF(AH3=8,0,IF(AH3=9,0,IF(AH3="A",0,IF(AH3="B",0,IF(AH3="C",1,IF(AH3="D",1,IF(AH3="E",1,IF(AH3="F",1,1))))))))))))))))</f>
        <v>0</v>
      </c>
      <c r="AJ5" s="20">
        <f>IF(AH3=0,0,IF(AH3=1,0,IF(AH3=2,1,IF(AH3=3,1,IF(AH3=4,0,IF(AH3=5,0,IF(AH3=6,1,IF(AH3=7,1,IF(AH3=8,0,IF(AH3=9,0,IF(AH3="A",1,IF(AH3="B",1,IF(AH3="C",0,IF(AH3="D",0,IF(AH3="E",1,IF(AH3="F",1,1))))))))))))))))</f>
        <v>0</v>
      </c>
      <c r="AK5" s="21">
        <f>IF(AH3=0,0,IF(AH3=1,1,IF(AH3=2,0,IF(AH3=3,1,IF(AH3=4,0,IF(AH3=5,1,IF(AH3=6,0,IF(AH3=7,1,IF(AH3=8,0,IF(AH3=9,1,IF(AH3="A",0,IF(AH3="B",1,IF(AH3="C",0,IF(AH3="D",1,IF(AH3="E",0,IF(AH3="F",1,1))))))))))))))))</f>
        <v>0</v>
      </c>
    </row>
    <row r="6" spans="1:51" x14ac:dyDescent="0.25">
      <c r="A6" s="69"/>
      <c r="B6" s="35"/>
      <c r="C6" s="35"/>
      <c r="D6" s="45"/>
      <c r="E6" s="36"/>
      <c r="F6" s="36"/>
      <c r="G6" s="36"/>
      <c r="H6" s="36"/>
      <c r="I6" s="36"/>
      <c r="J6" s="36"/>
      <c r="K6" s="36" t="s">
        <v>26</v>
      </c>
      <c r="L6" s="36"/>
      <c r="M6" s="36"/>
      <c r="N6" s="36"/>
      <c r="O6" s="36"/>
      <c r="P6" s="36"/>
      <c r="Q6" s="36"/>
      <c r="R6" s="36"/>
      <c r="S6" s="36"/>
      <c r="T6" s="36"/>
      <c r="U6" s="37" t="s">
        <v>27</v>
      </c>
      <c r="V6" s="37"/>
      <c r="W6" s="37"/>
      <c r="X6" s="37"/>
      <c r="Y6" s="37"/>
      <c r="Z6" s="37"/>
      <c r="AA6" s="37"/>
      <c r="AB6" s="38" t="s">
        <v>28</v>
      </c>
      <c r="AC6" s="38"/>
      <c r="AD6" s="39" t="s">
        <v>29</v>
      </c>
      <c r="AE6" s="39"/>
      <c r="AF6" s="40" t="s">
        <v>30</v>
      </c>
      <c r="AG6" s="40"/>
      <c r="AH6" s="40"/>
      <c r="AI6" s="41" t="s">
        <v>31</v>
      </c>
      <c r="AJ6" s="42"/>
      <c r="AK6" s="42"/>
    </row>
    <row r="7" spans="1:51" ht="15" customHeight="1" x14ac:dyDescent="0.25">
      <c r="A7" s="45"/>
      <c r="B7" s="43"/>
      <c r="C7" s="43"/>
      <c r="D7" s="45"/>
      <c r="E7" s="44">
        <v>16</v>
      </c>
      <c r="F7" s="44">
        <v>15</v>
      </c>
      <c r="G7" s="44">
        <v>14</v>
      </c>
      <c r="H7" s="44">
        <v>13</v>
      </c>
      <c r="I7" s="44">
        <v>12</v>
      </c>
      <c r="J7" s="44">
        <v>11</v>
      </c>
      <c r="K7" s="44">
        <v>10</v>
      </c>
      <c r="L7" s="44">
        <v>9</v>
      </c>
      <c r="M7" s="44">
        <v>8</v>
      </c>
      <c r="N7" s="44">
        <v>7</v>
      </c>
      <c r="O7" s="44">
        <v>6</v>
      </c>
      <c r="P7" s="44">
        <v>5</v>
      </c>
      <c r="Q7" s="44">
        <v>4</v>
      </c>
      <c r="R7" s="44">
        <v>3</v>
      </c>
      <c r="S7" s="44">
        <v>2</v>
      </c>
      <c r="T7" s="44">
        <v>1</v>
      </c>
      <c r="U7" s="44">
        <v>7</v>
      </c>
      <c r="V7" s="44">
        <v>6</v>
      </c>
      <c r="W7" s="44">
        <v>5</v>
      </c>
      <c r="X7" s="44">
        <v>4</v>
      </c>
      <c r="Y7" s="44">
        <v>3</v>
      </c>
      <c r="Z7" s="44">
        <v>2</v>
      </c>
      <c r="AA7" s="44">
        <v>1</v>
      </c>
      <c r="AB7" s="44">
        <v>2</v>
      </c>
      <c r="AC7" s="44">
        <v>1</v>
      </c>
      <c r="AD7" s="44">
        <v>2</v>
      </c>
      <c r="AE7" s="44">
        <v>1</v>
      </c>
      <c r="AF7" s="44">
        <v>3</v>
      </c>
      <c r="AG7" s="44">
        <v>2</v>
      </c>
      <c r="AH7" s="44">
        <v>1</v>
      </c>
      <c r="AI7" s="45"/>
      <c r="AJ7" s="45"/>
      <c r="AK7" s="45"/>
      <c r="AL7" s="10"/>
      <c r="AM7" s="10"/>
      <c r="AN7" s="10"/>
      <c r="AO7" s="10"/>
    </row>
    <row r="8" spans="1:51" ht="20.25" customHeight="1" x14ac:dyDescent="0.25">
      <c r="A8" s="78"/>
      <c r="B8" s="79"/>
      <c r="C8" s="79"/>
      <c r="D8" s="79"/>
      <c r="E8" s="79"/>
      <c r="F8" s="79"/>
      <c r="G8" s="79"/>
      <c r="H8" s="79"/>
      <c r="I8" s="79"/>
      <c r="J8" s="79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5"/>
      <c r="AJ8" s="45"/>
      <c r="AK8" s="45"/>
      <c r="AL8" s="10"/>
      <c r="AM8" s="10"/>
      <c r="AN8" s="10"/>
      <c r="AO8" s="10"/>
    </row>
    <row r="9" spans="1:51" ht="15" customHeight="1" thickBot="1" x14ac:dyDescent="0.3">
      <c r="A9" s="45"/>
      <c r="B9" s="95" t="s">
        <v>105</v>
      </c>
      <c r="C9" s="95"/>
      <c r="D9" s="96" t="s">
        <v>106</v>
      </c>
      <c r="E9" s="96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5"/>
      <c r="U9" s="45"/>
      <c r="V9" s="45"/>
      <c r="W9" s="45"/>
      <c r="X9" s="45"/>
      <c r="Y9" s="45"/>
      <c r="Z9" s="45"/>
      <c r="AA9" s="45"/>
      <c r="AB9" s="45"/>
      <c r="AC9" s="45"/>
      <c r="AD9" s="43"/>
      <c r="AE9" s="43"/>
      <c r="AF9" s="43"/>
      <c r="AG9" s="43"/>
      <c r="AH9" s="45"/>
      <c r="AI9" s="45"/>
      <c r="AJ9" s="45"/>
      <c r="AK9" s="45"/>
      <c r="AL9" s="10"/>
      <c r="AM9" s="10"/>
      <c r="AN9" s="10"/>
      <c r="AO9" s="10"/>
    </row>
    <row r="10" spans="1:51" ht="24.75" customHeight="1" x14ac:dyDescent="0.25">
      <c r="A10" s="75" t="s">
        <v>26</v>
      </c>
      <c r="B10" s="99" t="str">
        <f>CONCATENATE(H10,I10,J10,K10)</f>
        <v>0000</v>
      </c>
      <c r="C10" s="100"/>
      <c r="D10" s="97">
        <f>HEX2DEC(B10)</f>
        <v>0</v>
      </c>
      <c r="E10" s="98"/>
      <c r="F10" s="45"/>
      <c r="G10" s="45"/>
      <c r="H10" s="22" t="str">
        <f>DEC2HEX(IF(L10,8,0)+IF(M10,4,0)+IF(N10,2,0)+IF(O10,1,0))</f>
        <v>0</v>
      </c>
      <c r="I10" s="22" t="str">
        <f>DEC2HEX(IF(P10,8,0)+IF(Q10,4,0)+IF(R10,2,0)+IF(S10,1,0))</f>
        <v>0</v>
      </c>
      <c r="J10" s="22" t="str">
        <f>DEC2HEX(IF(T10,8,0)+IF(U10,4,0)+IF(V10,2,0)+IF(W10,1,0))</f>
        <v>0</v>
      </c>
      <c r="K10" s="22" t="str">
        <f>DEC2HEX(IF(X10,8,0)+IF(Y10,4,0)+IF(Z10,2,0)+IF(AA10,1,0))</f>
        <v>0</v>
      </c>
      <c r="L10" s="23">
        <f t="shared" ref="L10:Z10" si="0">E5</f>
        <v>0</v>
      </c>
      <c r="M10" s="23">
        <f t="shared" si="0"/>
        <v>0</v>
      </c>
      <c r="N10" s="23">
        <f t="shared" si="0"/>
        <v>0</v>
      </c>
      <c r="O10" s="23">
        <f t="shared" si="0"/>
        <v>0</v>
      </c>
      <c r="P10" s="23">
        <f t="shared" si="0"/>
        <v>0</v>
      </c>
      <c r="Q10" s="23">
        <f t="shared" si="0"/>
        <v>0</v>
      </c>
      <c r="R10" s="23">
        <f t="shared" si="0"/>
        <v>0</v>
      </c>
      <c r="S10" s="23">
        <f t="shared" si="0"/>
        <v>0</v>
      </c>
      <c r="T10" s="23">
        <f t="shared" si="0"/>
        <v>0</v>
      </c>
      <c r="U10" s="23">
        <f t="shared" si="0"/>
        <v>0</v>
      </c>
      <c r="V10" s="23">
        <f t="shared" si="0"/>
        <v>0</v>
      </c>
      <c r="W10" s="23">
        <f t="shared" si="0"/>
        <v>0</v>
      </c>
      <c r="X10" s="23">
        <f t="shared" si="0"/>
        <v>0</v>
      </c>
      <c r="Y10" s="23">
        <f t="shared" si="0"/>
        <v>0</v>
      </c>
      <c r="Z10" s="23">
        <f t="shared" si="0"/>
        <v>0</v>
      </c>
      <c r="AA10" s="23">
        <f>T5</f>
        <v>0</v>
      </c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10"/>
      <c r="AM10" s="10"/>
      <c r="AP10" s="11"/>
      <c r="AQ10" s="11"/>
    </row>
    <row r="11" spans="1:51" ht="24.75" customHeight="1" x14ac:dyDescent="0.25">
      <c r="A11" s="76" t="s">
        <v>27</v>
      </c>
      <c r="B11" s="101" t="str">
        <f>CONCATENATE(H11,I11,J11)</f>
        <v>041</v>
      </c>
      <c r="C11" s="102"/>
      <c r="D11" s="91">
        <f>HEX2DEC(B11)</f>
        <v>65</v>
      </c>
      <c r="E11" s="92"/>
      <c r="F11" s="45"/>
      <c r="G11" s="45"/>
      <c r="H11" s="22" t="str">
        <f>DEC2HEX(IF(0,8,0)+IF(0,4,0)+IF(L11,2,0)+IF(M11,1,0))</f>
        <v>0</v>
      </c>
      <c r="I11" s="22" t="str">
        <f>DEC2HEX(IF(N11,8,0)+IF(O11,4,0)+IF(P11,2,0)+IF(Q11,1,0))</f>
        <v>4</v>
      </c>
      <c r="J11" s="22" t="str">
        <f>DEC2HEX(IF(R11,8,0)+IF(S11,4,0)+IF(T11,2,0)+IF(U11,1,0))</f>
        <v>1</v>
      </c>
      <c r="K11" s="22"/>
      <c r="L11" s="23">
        <f t="shared" ref="L11:Q11" si="1">U5</f>
        <v>0</v>
      </c>
      <c r="M11" s="23">
        <f t="shared" si="1"/>
        <v>0</v>
      </c>
      <c r="N11" s="23">
        <f t="shared" si="1"/>
        <v>0</v>
      </c>
      <c r="O11" s="23">
        <f t="shared" si="1"/>
        <v>1</v>
      </c>
      <c r="P11" s="23">
        <f t="shared" si="1"/>
        <v>0</v>
      </c>
      <c r="Q11" s="23">
        <f t="shared" si="1"/>
        <v>0</v>
      </c>
      <c r="R11" s="23">
        <f>AA5</f>
        <v>0</v>
      </c>
      <c r="S11" s="23">
        <f>AF5</f>
        <v>0</v>
      </c>
      <c r="T11" s="23">
        <f>AG5</f>
        <v>0</v>
      </c>
      <c r="U11" s="23">
        <f>AH5</f>
        <v>1</v>
      </c>
      <c r="V11" s="25"/>
      <c r="W11" s="25"/>
      <c r="X11" s="25"/>
      <c r="Y11" s="25"/>
      <c r="Z11" s="25"/>
      <c r="AA11" s="26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P11" s="11"/>
      <c r="AQ11" s="11"/>
      <c r="AR11" s="11"/>
      <c r="AS11" s="11"/>
      <c r="AT11" s="11"/>
      <c r="AU11" s="11"/>
      <c r="AV11" s="11"/>
      <c r="AW11" s="11"/>
      <c r="AX11" s="11"/>
      <c r="AY11" s="11"/>
    </row>
    <row r="12" spans="1:51" ht="24.75" customHeight="1" x14ac:dyDescent="0.25">
      <c r="A12" s="76" t="s">
        <v>28</v>
      </c>
      <c r="B12" s="101" t="str">
        <f>H12</f>
        <v>0</v>
      </c>
      <c r="C12" s="102"/>
      <c r="D12" s="91">
        <f t="shared" ref="D12:D14" si="2">HEX2DEC(B12)</f>
        <v>0</v>
      </c>
      <c r="E12" s="92"/>
      <c r="F12" s="45"/>
      <c r="G12" s="45"/>
      <c r="H12" s="22" t="str">
        <f>DEC2HEX(IF(0,8,0)+IF(0,4,0)+IF(L12,2,0)+IF(M12,1,0))</f>
        <v>0</v>
      </c>
      <c r="I12" s="22"/>
      <c r="J12" s="22"/>
      <c r="K12" s="22"/>
      <c r="L12" s="23">
        <f>AB5</f>
        <v>0</v>
      </c>
      <c r="M12" s="23">
        <f>AC5</f>
        <v>0</v>
      </c>
      <c r="N12" s="24"/>
      <c r="O12" s="25"/>
      <c r="P12" s="25"/>
      <c r="Q12" s="25"/>
      <c r="R12" s="25"/>
      <c r="S12" s="27"/>
      <c r="T12" s="27"/>
      <c r="U12" s="27"/>
      <c r="V12" s="27"/>
      <c r="W12" s="27"/>
      <c r="X12" s="27"/>
      <c r="Y12" s="27"/>
      <c r="Z12" s="27"/>
      <c r="AA12" s="28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P12" s="11"/>
      <c r="AQ12" s="11"/>
      <c r="AR12" s="11"/>
      <c r="AS12" s="11"/>
      <c r="AT12" s="11"/>
      <c r="AU12" s="11"/>
      <c r="AV12" s="11"/>
      <c r="AW12" s="11"/>
      <c r="AX12" s="11"/>
      <c r="AY12" s="11"/>
    </row>
    <row r="13" spans="1:51" ht="24.75" customHeight="1" x14ac:dyDescent="0.25">
      <c r="A13" s="76" t="s">
        <v>29</v>
      </c>
      <c r="B13" s="101" t="str">
        <f>H13</f>
        <v>0</v>
      </c>
      <c r="C13" s="102"/>
      <c r="D13" s="91">
        <f t="shared" si="2"/>
        <v>0</v>
      </c>
      <c r="E13" s="92"/>
      <c r="F13" s="45"/>
      <c r="G13" s="45"/>
      <c r="H13" s="22" t="str">
        <f>DEC2HEX(IF(0,8,0)+IF(0,4,0)+IF(L13,2,0)+IF(M13,1,0))</f>
        <v>0</v>
      </c>
      <c r="I13" s="22"/>
      <c r="J13" s="22"/>
      <c r="K13" s="22"/>
      <c r="L13" s="23">
        <f>AD5</f>
        <v>0</v>
      </c>
      <c r="M13" s="23">
        <f>AE5</f>
        <v>0</v>
      </c>
      <c r="N13" s="29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8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P13" s="11"/>
      <c r="AQ13" s="11"/>
      <c r="AR13" s="11"/>
      <c r="AS13" s="11"/>
      <c r="AT13" s="11"/>
      <c r="AU13" s="11"/>
      <c r="AV13" s="11"/>
      <c r="AW13" s="11"/>
      <c r="AX13" s="11"/>
      <c r="AY13" s="11"/>
    </row>
    <row r="14" spans="1:51" ht="24.75" customHeight="1" thickBot="1" x14ac:dyDescent="0.3">
      <c r="A14" s="77" t="s">
        <v>30</v>
      </c>
      <c r="B14" s="103" t="str">
        <f>H14</f>
        <v>1</v>
      </c>
      <c r="C14" s="104"/>
      <c r="D14" s="93">
        <f t="shared" si="2"/>
        <v>1</v>
      </c>
      <c r="E14" s="94"/>
      <c r="F14" s="45"/>
      <c r="G14" s="45"/>
      <c r="H14" s="22" t="str">
        <f>DEC2HEX(IF(0,8,0)+IF(S11,4,0)+IF(T11,2,0)+IF(U11,1,0))</f>
        <v>1</v>
      </c>
      <c r="I14" s="22"/>
      <c r="J14" s="22"/>
      <c r="K14" s="22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1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P14" s="11"/>
      <c r="AQ14" s="11"/>
      <c r="AR14" s="11"/>
      <c r="AS14" s="11"/>
      <c r="AT14" s="11"/>
      <c r="AU14" s="11"/>
      <c r="AV14" s="11"/>
      <c r="AW14" s="11"/>
      <c r="AX14" s="11"/>
      <c r="AY14" s="11"/>
    </row>
    <row r="15" spans="1:51" x14ac:dyDescent="0.25">
      <c r="B15" s="60"/>
      <c r="C15" s="43"/>
      <c r="D15" s="43"/>
      <c r="E15" s="43"/>
      <c r="F15" s="43"/>
      <c r="G15" s="43"/>
      <c r="H15" s="43"/>
      <c r="I15" s="43"/>
      <c r="J15" s="43"/>
    </row>
    <row r="16" spans="1:51" x14ac:dyDescent="0.25">
      <c r="B16" s="61"/>
      <c r="C16" s="62"/>
      <c r="D16" s="62"/>
      <c r="E16" s="62"/>
      <c r="F16" s="62"/>
      <c r="G16" s="62"/>
      <c r="H16" s="62"/>
      <c r="I16" s="62"/>
      <c r="J16" s="62"/>
    </row>
    <row r="17" spans="2:10" x14ac:dyDescent="0.25">
      <c r="B17" s="61"/>
      <c r="C17" s="62"/>
      <c r="D17" s="62"/>
      <c r="E17" s="62"/>
      <c r="F17" s="62"/>
      <c r="G17" s="62"/>
      <c r="H17" s="62"/>
      <c r="I17" s="62"/>
      <c r="J17" s="62"/>
    </row>
    <row r="18" spans="2:10" x14ac:dyDescent="0.25">
      <c r="B18" s="61" t="s">
        <v>104</v>
      </c>
      <c r="C18" s="61"/>
      <c r="D18" s="61"/>
      <c r="E18" s="61"/>
      <c r="F18" s="61"/>
      <c r="G18" s="61"/>
      <c r="H18" s="61"/>
      <c r="I18" s="61"/>
      <c r="J18" s="61"/>
    </row>
  </sheetData>
  <sheetProtection sheet="1" objects="1" scenarios="1"/>
  <mergeCells count="22">
    <mergeCell ref="D13:E13"/>
    <mergeCell ref="D14:E14"/>
    <mergeCell ref="B9:C9"/>
    <mergeCell ref="D9:E9"/>
    <mergeCell ref="D10:E10"/>
    <mergeCell ref="D11:E11"/>
    <mergeCell ref="D12:E12"/>
    <mergeCell ref="B10:C10"/>
    <mergeCell ref="B11:C11"/>
    <mergeCell ref="B12:C12"/>
    <mergeCell ref="B13:C13"/>
    <mergeCell ref="B14:C14"/>
    <mergeCell ref="B1:AK2"/>
    <mergeCell ref="AD3:AG3"/>
    <mergeCell ref="AH3:AK3"/>
    <mergeCell ref="B3:E3"/>
    <mergeCell ref="F3:I3"/>
    <mergeCell ref="J3:M3"/>
    <mergeCell ref="N3:Q3"/>
    <mergeCell ref="R3:U3"/>
    <mergeCell ref="V3:Y3"/>
    <mergeCell ref="Z3:AC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21"/>
  <sheetViews>
    <sheetView zoomScaleNormal="100" workbookViewId="0">
      <selection activeCell="I1" sqref="I1:L1"/>
    </sheetView>
  </sheetViews>
  <sheetFormatPr defaultRowHeight="15" x14ac:dyDescent="0.25"/>
  <cols>
    <col min="1" max="1" width="15.85546875" style="10" bestFit="1" customWidth="1"/>
    <col min="2" max="3" width="4.7109375" style="10" customWidth="1"/>
    <col min="4" max="5" width="4.85546875" style="10" customWidth="1"/>
    <col min="6" max="37" width="4.85546875" style="11" customWidth="1"/>
    <col min="38" max="41" width="3.140625" style="11" customWidth="1"/>
    <col min="42" max="16384" width="9.140625" style="10"/>
  </cols>
  <sheetData>
    <row r="1" spans="1:51" ht="24" customHeight="1" thickBot="1" x14ac:dyDescent="0.3">
      <c r="A1" s="45" t="s">
        <v>13</v>
      </c>
      <c r="B1" s="108" t="s">
        <v>37</v>
      </c>
      <c r="C1" s="109"/>
      <c r="D1" s="109"/>
      <c r="E1" s="109"/>
      <c r="F1" s="109"/>
      <c r="G1" s="109"/>
      <c r="H1" s="109"/>
      <c r="I1" s="110" t="str">
        <f>CONCATENATE("0x",B3,F3,J3,N3,R3,V3,Z3,AD3,AH3)</f>
        <v>0x000021BC0</v>
      </c>
      <c r="J1" s="111"/>
      <c r="K1" s="111"/>
      <c r="L1" s="112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4"/>
    </row>
    <row r="2" spans="1:51" ht="6.75" customHeight="1" x14ac:dyDescent="0.25">
      <c r="A2" s="45"/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2"/>
    </row>
    <row r="3" spans="1:51" s="58" customFormat="1" ht="20.25" customHeight="1" thickBot="1" x14ac:dyDescent="0.3">
      <c r="A3" s="65" t="s">
        <v>0</v>
      </c>
      <c r="B3" s="105">
        <f>+E4</f>
        <v>0</v>
      </c>
      <c r="C3" s="106"/>
      <c r="D3" s="106"/>
      <c r="E3" s="107"/>
      <c r="F3" s="105">
        <f>IF((F4+G4+H4+I4)=10,"A",IF((F4+G4+H4+I4)=11,"B",IF((F4+G4+H4+I4)=12,"C",IF((F4+G4+H4+I4)=13,"D",IF((F4+G4+H4+I4)=14,"E",IF((F4+G4+H4+I4)=15,"F",(F4+G4+H4+I4)))))))</f>
        <v>0</v>
      </c>
      <c r="G3" s="106"/>
      <c r="H3" s="106"/>
      <c r="I3" s="107"/>
      <c r="J3" s="105">
        <f>IF((J4+K4+L4+M4)=10,"A",IF((J4+K4+L4+M4)=11,"B",IF((J4+K4+L4+M4)=12,"C",IF((J4+K4+L4+M4)=13,"D",IF((J4+K4+L4+M4)=14,"E",IF((J4+K4+L4+M4)=15,"F",(J4+K4+L4+M4)))))))</f>
        <v>0</v>
      </c>
      <c r="K3" s="106"/>
      <c r="L3" s="106"/>
      <c r="M3" s="107"/>
      <c r="N3" s="105">
        <f>IF((N4+O4+P4+Q4)=10,"A",IF((N4+O4+P4+Q4)=11,"B",IF((N4+O4+P4+Q4)=12,"C",IF((N4+O4+P4+Q4)=13,"D",IF((N4+O4+P4+Q4)=14,"E",IF((N4+O4+P4+Q4)=15,"F",(N4+O4+P4+Q4)))))))</f>
        <v>0</v>
      </c>
      <c r="O3" s="106"/>
      <c r="P3" s="106"/>
      <c r="Q3" s="107"/>
      <c r="R3" s="105">
        <f>IF((R4+S4+T4+U4)=10,"A",IF((R4+S4+T4+U4)=11,"B",IF((R4+S4+T4+U4)=12,"C",IF((R4+S4+T4+U4)=13,"D",IF((R4+S4+T4+U4)=14,"E",IF((R4+S4+T4+U4)=15,"F",(R4+S4+T4+U4)))))))</f>
        <v>2</v>
      </c>
      <c r="S3" s="106"/>
      <c r="T3" s="106"/>
      <c r="U3" s="107"/>
      <c r="V3" s="105">
        <f>IF((V4+W4+X4+Y4)=10,"A",IF((V4+W4+X4+Y4)=11,"B",IF((V4+W4+X4+Y4)=12,"C",IF((V4+W4+X4+Y4)=13,"D",IF((V4+W4+X4+Y4)=14,"E",IF((V4+W4+X4+Y4)=15,"F",(V4+W4+X4+Y4)))))))</f>
        <v>1</v>
      </c>
      <c r="W3" s="106"/>
      <c r="X3" s="106"/>
      <c r="Y3" s="107"/>
      <c r="Z3" s="105" t="str">
        <f>IF((Z4+AA4+AB4+AC4)=10,"A",IF((Z4+AA4+AB4+AC4)=11,"B",IF((Z4+AA4+AB4+AC4)=12,"C",IF((Z4+AA4+AB4+AC4)=13,"D",IF((Z4+AA4+AB4+AC4)=14,"E",IF((Z4+AA4+AB4+AC4)=15,"F",(Z4+AA4+AB4+AC4)))))))</f>
        <v>B</v>
      </c>
      <c r="AA3" s="106"/>
      <c r="AB3" s="106"/>
      <c r="AC3" s="107"/>
      <c r="AD3" s="105" t="str">
        <f>IF((AD4+AE4+AF4+AG4)=10,"A",IF((AD4+AE4+AF4+AG4)=11,"B",IF((AD4+AE4+AF4+AG4)=12,"C",IF((AD4+AE4+AF4+AG4)=13,"D",IF((AD4+AE4+AF4+AG4)=14,"E",IF((AD4+AE4+AF4+AG4)=15,"F",(AD4+AE4+AF4+AG4)))))))</f>
        <v>C</v>
      </c>
      <c r="AE3" s="106"/>
      <c r="AF3" s="106"/>
      <c r="AG3" s="107"/>
      <c r="AH3" s="105">
        <f>IF((AH4+AI4+AJ4+AK4)=10,"A",IF((AH4+AI4+AJ4+AK4)=11,"B",IF((AH4+AI4+AJ4+AK4)=11,"C",IF((AH4+AI4+AJ4+AK4)=11,"D",IF((AH4+AI4+AJ4+AK4)=11,"E",IF((AH4+AI4+AJ4+AK4)=15,"F",(AH4+AI4+AJ4+AK4)))))))</f>
        <v>0</v>
      </c>
      <c r="AI3" s="106"/>
      <c r="AJ3" s="106"/>
      <c r="AK3" s="107"/>
      <c r="AL3" s="57"/>
      <c r="AM3" s="57"/>
      <c r="AN3" s="57"/>
      <c r="AO3" s="57"/>
    </row>
    <row r="4" spans="1:51" x14ac:dyDescent="0.25">
      <c r="A4" s="66" t="s">
        <v>100</v>
      </c>
      <c r="B4" s="53" t="s">
        <v>13</v>
      </c>
      <c r="C4" s="53" t="s">
        <v>13</v>
      </c>
      <c r="D4" s="53">
        <f>IF(D5=1,2,0)</f>
        <v>0</v>
      </c>
      <c r="E4" s="54">
        <f>IF(E5=1,1,0)</f>
        <v>0</v>
      </c>
      <c r="F4" s="53">
        <f>IF(F5=1,8,0)</f>
        <v>0</v>
      </c>
      <c r="G4" s="53">
        <f>IF(G5=1,4,0)</f>
        <v>0</v>
      </c>
      <c r="H4" s="53">
        <f>IF(H5=1,2,0)</f>
        <v>0</v>
      </c>
      <c r="I4" s="54">
        <f>IF(I5=1,1,0)</f>
        <v>0</v>
      </c>
      <c r="J4" s="53">
        <f>IF(J5=1,8,0)</f>
        <v>0</v>
      </c>
      <c r="K4" s="53">
        <f>IF(K5=1,4,0)</f>
        <v>0</v>
      </c>
      <c r="L4" s="53">
        <f>IF(L5=1,2,0)</f>
        <v>0</v>
      </c>
      <c r="M4" s="54">
        <f>IF(M5=1,1,0)</f>
        <v>0</v>
      </c>
      <c r="N4" s="53">
        <f>IF(N5=1,8,0)</f>
        <v>0</v>
      </c>
      <c r="O4" s="53">
        <f>IF(O5=1,4,0)</f>
        <v>0</v>
      </c>
      <c r="P4" s="53">
        <f>IF(P5=1,2,0)</f>
        <v>0</v>
      </c>
      <c r="Q4" s="54">
        <f>IF(Q5=1,1,0)</f>
        <v>0</v>
      </c>
      <c r="R4" s="53">
        <f>IF(R5=1,8,0)</f>
        <v>0</v>
      </c>
      <c r="S4" s="53">
        <f>IF(S5=1,4,0)</f>
        <v>0</v>
      </c>
      <c r="T4" s="53">
        <f>IF(T5=1,2,0)</f>
        <v>2</v>
      </c>
      <c r="U4" s="54">
        <f>IF(U5=1,1,0)</f>
        <v>0</v>
      </c>
      <c r="V4" s="53">
        <f>IF(V5=1,8,0)</f>
        <v>0</v>
      </c>
      <c r="W4" s="53">
        <f>IF(W5=1,4,0)</f>
        <v>0</v>
      </c>
      <c r="X4" s="53">
        <f>IF(X5=1,2,0)</f>
        <v>0</v>
      </c>
      <c r="Y4" s="54">
        <f>IF(Y5=1,1,0)</f>
        <v>1</v>
      </c>
      <c r="Z4" s="53">
        <f>IF(Z5=1,8,0)</f>
        <v>8</v>
      </c>
      <c r="AA4" s="53">
        <f>IF(AA5=1,4,0)</f>
        <v>0</v>
      </c>
      <c r="AB4" s="53">
        <f>IF(AB5=1,2,0)</f>
        <v>2</v>
      </c>
      <c r="AC4" s="54">
        <f>IF(AC5=1,1,0)</f>
        <v>1</v>
      </c>
      <c r="AD4" s="53">
        <f>IF(AD5=1,8,0)</f>
        <v>8</v>
      </c>
      <c r="AE4" s="53">
        <f>IF(AE5=1,4,0)</f>
        <v>4</v>
      </c>
      <c r="AF4" s="53">
        <f>IF(AF5=1,2,0)</f>
        <v>0</v>
      </c>
      <c r="AG4" s="54">
        <f>IF(AG5=1,1,0)</f>
        <v>0</v>
      </c>
      <c r="AH4" s="53">
        <f>IF(AH5=1,8,0)</f>
        <v>0</v>
      </c>
      <c r="AI4" s="53">
        <f>IF(AI5=1,4,0)</f>
        <v>0</v>
      </c>
      <c r="AJ4" s="53">
        <f>IF(AJ5=1,2,0)</f>
        <v>0</v>
      </c>
      <c r="AK4" s="54">
        <f>IF(AK5=1,1,0)</f>
        <v>0</v>
      </c>
    </row>
    <row r="5" spans="1:51" ht="15.75" thickBot="1" x14ac:dyDescent="0.3">
      <c r="A5" s="67" t="s">
        <v>2</v>
      </c>
      <c r="B5" s="13" t="s">
        <v>13</v>
      </c>
      <c r="C5" s="15" t="s">
        <v>13</v>
      </c>
      <c r="D5" s="19" t="s">
        <v>56</v>
      </c>
      <c r="E5" s="20">
        <f t="shared" ref="E5:S5" si="0">L11</f>
        <v>0</v>
      </c>
      <c r="F5" s="20">
        <f t="shared" si="0"/>
        <v>0</v>
      </c>
      <c r="G5" s="20">
        <f t="shared" si="0"/>
        <v>0</v>
      </c>
      <c r="H5" s="20">
        <f t="shared" si="0"/>
        <v>0</v>
      </c>
      <c r="I5" s="20">
        <f t="shared" si="0"/>
        <v>0</v>
      </c>
      <c r="J5" s="20">
        <f t="shared" si="0"/>
        <v>0</v>
      </c>
      <c r="K5" s="20">
        <f t="shared" si="0"/>
        <v>0</v>
      </c>
      <c r="L5" s="20">
        <f t="shared" si="0"/>
        <v>0</v>
      </c>
      <c r="M5" s="20">
        <f t="shared" si="0"/>
        <v>0</v>
      </c>
      <c r="N5" s="20">
        <f t="shared" si="0"/>
        <v>0</v>
      </c>
      <c r="O5" s="20">
        <f t="shared" si="0"/>
        <v>0</v>
      </c>
      <c r="P5" s="20">
        <f t="shared" si="0"/>
        <v>0</v>
      </c>
      <c r="Q5" s="20">
        <f t="shared" si="0"/>
        <v>0</v>
      </c>
      <c r="R5" s="20">
        <f t="shared" si="0"/>
        <v>0</v>
      </c>
      <c r="S5" s="20">
        <f t="shared" si="0"/>
        <v>0</v>
      </c>
      <c r="T5" s="20">
        <f>AA11</f>
        <v>1</v>
      </c>
      <c r="U5" s="20">
        <f t="shared" ref="U5:Z5" si="1">L12</f>
        <v>0</v>
      </c>
      <c r="V5" s="20">
        <f t="shared" si="1"/>
        <v>0</v>
      </c>
      <c r="W5" s="20">
        <f t="shared" si="1"/>
        <v>0</v>
      </c>
      <c r="X5" s="20">
        <f t="shared" si="1"/>
        <v>0</v>
      </c>
      <c r="Y5" s="20">
        <f t="shared" si="1"/>
        <v>1</v>
      </c>
      <c r="Z5" s="20">
        <f t="shared" si="1"/>
        <v>1</v>
      </c>
      <c r="AA5" s="20">
        <f>R12</f>
        <v>0</v>
      </c>
      <c r="AB5" s="20">
        <f>L13</f>
        <v>1</v>
      </c>
      <c r="AC5" s="20">
        <f>M13</f>
        <v>1</v>
      </c>
      <c r="AD5" s="20">
        <f>L14</f>
        <v>1</v>
      </c>
      <c r="AE5" s="20">
        <f>M14</f>
        <v>1</v>
      </c>
      <c r="AF5" s="20">
        <f t="shared" ref="AF5:AG5" si="2">L15</f>
        <v>0</v>
      </c>
      <c r="AG5" s="20">
        <f t="shared" si="2"/>
        <v>0</v>
      </c>
      <c r="AH5" s="20">
        <f>N15</f>
        <v>0</v>
      </c>
      <c r="AI5" s="20" t="s">
        <v>56</v>
      </c>
      <c r="AJ5" s="20" t="s">
        <v>56</v>
      </c>
      <c r="AK5" s="21" t="s">
        <v>56</v>
      </c>
    </row>
    <row r="6" spans="1:51" ht="15.75" thickBot="1" x14ac:dyDescent="0.3">
      <c r="A6" s="68" t="s">
        <v>1</v>
      </c>
      <c r="B6" s="12">
        <v>35</v>
      </c>
      <c r="C6" s="14">
        <v>34</v>
      </c>
      <c r="D6" s="16">
        <v>33</v>
      </c>
      <c r="E6" s="17">
        <v>32</v>
      </c>
      <c r="F6" s="17">
        <v>31</v>
      </c>
      <c r="G6" s="17">
        <v>30</v>
      </c>
      <c r="H6" s="17">
        <v>29</v>
      </c>
      <c r="I6" s="17">
        <v>28</v>
      </c>
      <c r="J6" s="17">
        <v>27</v>
      </c>
      <c r="K6" s="17">
        <v>26</v>
      </c>
      <c r="L6" s="17">
        <v>25</v>
      </c>
      <c r="M6" s="17">
        <v>24</v>
      </c>
      <c r="N6" s="17">
        <v>23</v>
      </c>
      <c r="O6" s="17">
        <v>22</v>
      </c>
      <c r="P6" s="17">
        <v>21</v>
      </c>
      <c r="Q6" s="17">
        <v>20</v>
      </c>
      <c r="R6" s="17">
        <v>19</v>
      </c>
      <c r="S6" s="17">
        <v>18</v>
      </c>
      <c r="T6" s="17">
        <v>17</v>
      </c>
      <c r="U6" s="17">
        <v>16</v>
      </c>
      <c r="V6" s="17">
        <v>15</v>
      </c>
      <c r="W6" s="17">
        <v>14</v>
      </c>
      <c r="X6" s="17">
        <v>13</v>
      </c>
      <c r="Y6" s="17">
        <v>12</v>
      </c>
      <c r="Z6" s="17">
        <v>11</v>
      </c>
      <c r="AA6" s="17">
        <v>10</v>
      </c>
      <c r="AB6" s="17">
        <v>9</v>
      </c>
      <c r="AC6" s="17">
        <v>8</v>
      </c>
      <c r="AD6" s="17">
        <v>7</v>
      </c>
      <c r="AE6" s="17">
        <v>6</v>
      </c>
      <c r="AF6" s="17">
        <v>5</v>
      </c>
      <c r="AG6" s="17">
        <v>4</v>
      </c>
      <c r="AH6" s="17">
        <v>3</v>
      </c>
      <c r="AI6" s="17">
        <v>2</v>
      </c>
      <c r="AJ6" s="17">
        <v>1</v>
      </c>
      <c r="AK6" s="18">
        <v>0</v>
      </c>
    </row>
    <row r="7" spans="1:51" x14ac:dyDescent="0.25">
      <c r="A7" s="69"/>
      <c r="B7" s="35"/>
      <c r="C7" s="35"/>
      <c r="D7" s="45"/>
      <c r="E7" s="36"/>
      <c r="F7" s="36"/>
      <c r="G7" s="36"/>
      <c r="H7" s="36"/>
      <c r="I7" s="36"/>
      <c r="J7" s="36"/>
      <c r="K7" s="36" t="s">
        <v>26</v>
      </c>
      <c r="L7" s="36"/>
      <c r="M7" s="36"/>
      <c r="N7" s="36"/>
      <c r="O7" s="36"/>
      <c r="P7" s="36"/>
      <c r="Q7" s="36"/>
      <c r="R7" s="36"/>
      <c r="S7" s="36"/>
      <c r="T7" s="36"/>
      <c r="U7" s="37" t="s">
        <v>27</v>
      </c>
      <c r="V7" s="37"/>
      <c r="W7" s="37"/>
      <c r="X7" s="37"/>
      <c r="Y7" s="37"/>
      <c r="Z7" s="37"/>
      <c r="AA7" s="37"/>
      <c r="AB7" s="38" t="s">
        <v>28</v>
      </c>
      <c r="AC7" s="38"/>
      <c r="AD7" s="39" t="s">
        <v>29</v>
      </c>
      <c r="AE7" s="39"/>
      <c r="AF7" s="40" t="s">
        <v>30</v>
      </c>
      <c r="AG7" s="40"/>
      <c r="AH7" s="40"/>
      <c r="AI7" s="41" t="s">
        <v>31</v>
      </c>
      <c r="AJ7" s="42"/>
      <c r="AK7" s="42"/>
    </row>
    <row r="8" spans="1:51" ht="15" customHeight="1" x14ac:dyDescent="0.25">
      <c r="A8" s="45"/>
      <c r="B8" s="43"/>
      <c r="C8" s="43"/>
      <c r="D8" s="45"/>
      <c r="E8" s="44">
        <v>16</v>
      </c>
      <c r="F8" s="44">
        <v>15</v>
      </c>
      <c r="G8" s="44">
        <v>14</v>
      </c>
      <c r="H8" s="44">
        <v>13</v>
      </c>
      <c r="I8" s="44">
        <v>12</v>
      </c>
      <c r="J8" s="44">
        <v>11</v>
      </c>
      <c r="K8" s="44">
        <v>10</v>
      </c>
      <c r="L8" s="44">
        <v>9</v>
      </c>
      <c r="M8" s="44">
        <v>8</v>
      </c>
      <c r="N8" s="44">
        <v>7</v>
      </c>
      <c r="O8" s="44">
        <v>6</v>
      </c>
      <c r="P8" s="44">
        <v>5</v>
      </c>
      <c r="Q8" s="44">
        <v>4</v>
      </c>
      <c r="R8" s="44">
        <v>3</v>
      </c>
      <c r="S8" s="44">
        <v>2</v>
      </c>
      <c r="T8" s="44">
        <v>1</v>
      </c>
      <c r="U8" s="44">
        <v>7</v>
      </c>
      <c r="V8" s="44">
        <v>6</v>
      </c>
      <c r="W8" s="44">
        <v>5</v>
      </c>
      <c r="X8" s="44">
        <v>4</v>
      </c>
      <c r="Y8" s="44">
        <v>3</v>
      </c>
      <c r="Z8" s="44">
        <v>2</v>
      </c>
      <c r="AA8" s="44">
        <v>1</v>
      </c>
      <c r="AB8" s="44">
        <v>2</v>
      </c>
      <c r="AC8" s="44">
        <v>1</v>
      </c>
      <c r="AD8" s="44">
        <v>2</v>
      </c>
      <c r="AE8" s="44">
        <v>1</v>
      </c>
      <c r="AF8" s="44">
        <v>3</v>
      </c>
      <c r="AG8" s="44">
        <v>2</v>
      </c>
      <c r="AH8" s="44">
        <v>1</v>
      </c>
      <c r="AI8" s="45"/>
      <c r="AJ8" s="45"/>
      <c r="AK8" s="45"/>
      <c r="AL8" s="10"/>
      <c r="AM8" s="10"/>
      <c r="AN8" s="10"/>
      <c r="AO8" s="10"/>
    </row>
    <row r="9" spans="1:51" ht="15" customHeight="1" x14ac:dyDescent="0.25">
      <c r="B9" s="43"/>
      <c r="C9" s="43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5"/>
      <c r="AJ9" s="45"/>
      <c r="AK9" s="45"/>
      <c r="AL9" s="10"/>
      <c r="AM9" s="10"/>
      <c r="AN9" s="10"/>
      <c r="AO9" s="10"/>
    </row>
    <row r="10" spans="1:51" ht="15" customHeight="1" thickBot="1" x14ac:dyDescent="0.3">
      <c r="B10" s="11"/>
      <c r="C10" s="11"/>
      <c r="D10" s="118" t="s">
        <v>102</v>
      </c>
      <c r="E10" s="118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H10" s="10"/>
      <c r="AI10" s="10"/>
      <c r="AJ10" s="10"/>
      <c r="AK10" s="10"/>
      <c r="AL10" s="10"/>
      <c r="AM10" s="10"/>
      <c r="AN10" s="10"/>
      <c r="AO10" s="10"/>
    </row>
    <row r="11" spans="1:51" ht="24.75" customHeight="1" x14ac:dyDescent="0.25">
      <c r="A11" s="32" t="s">
        <v>26</v>
      </c>
      <c r="B11" s="119">
        <v>1</v>
      </c>
      <c r="C11" s="120"/>
      <c r="D11" s="117">
        <v>65535</v>
      </c>
      <c r="E11" s="118"/>
      <c r="F11" s="10"/>
      <c r="G11" s="10"/>
      <c r="H11" s="115" t="s">
        <v>101</v>
      </c>
      <c r="I11" s="115"/>
      <c r="J11" s="115"/>
      <c r="K11" s="116"/>
      <c r="L11" s="23">
        <f>ROUNDDOWN(MOD($B11/32768,2),0)</f>
        <v>0</v>
      </c>
      <c r="M11" s="23">
        <f>ROUNDDOWN(MOD($B11/16384,2),0)</f>
        <v>0</v>
      </c>
      <c r="N11" s="23">
        <f>ROUNDDOWN(MOD($B11/8192,2),0)</f>
        <v>0</v>
      </c>
      <c r="O11" s="23">
        <f>ROUNDDOWN(MOD($B11/4096,2),0)</f>
        <v>0</v>
      </c>
      <c r="P11" s="23">
        <f>ROUNDDOWN(MOD($B11/2048,2),0)</f>
        <v>0</v>
      </c>
      <c r="Q11" s="23">
        <f>ROUNDDOWN(MOD($B11/1024,2),0)</f>
        <v>0</v>
      </c>
      <c r="R11" s="23">
        <f>ROUNDDOWN(MOD($B11/512,2),0)</f>
        <v>0</v>
      </c>
      <c r="S11" s="23">
        <f>ROUNDDOWN(MOD($B11/256,2),0)</f>
        <v>0</v>
      </c>
      <c r="T11" s="23">
        <f>ROUNDDOWN(MOD($B11/128,2),0)</f>
        <v>0</v>
      </c>
      <c r="U11" s="23">
        <f>ROUNDDOWN(MOD($B11/64,2),0)</f>
        <v>0</v>
      </c>
      <c r="V11" s="23">
        <f>ROUNDDOWN(MOD($B11/32,2),0)</f>
        <v>0</v>
      </c>
      <c r="W11" s="23">
        <f>ROUNDDOWN(MOD($B11/16,2),0)</f>
        <v>0</v>
      </c>
      <c r="X11" s="23">
        <f>ROUNDDOWN(MOD($B11/8,2),0)</f>
        <v>0</v>
      </c>
      <c r="Y11" s="23">
        <f>ROUNDDOWN(MOD($B11/4,2),0)</f>
        <v>0</v>
      </c>
      <c r="Z11" s="23">
        <f>ROUNDDOWN(MOD($B11/2,2),0)</f>
        <v>0</v>
      </c>
      <c r="AA11" s="23">
        <f>ROUNDDOWN(MOD(B11,2),0)</f>
        <v>1</v>
      </c>
      <c r="AL11" s="10"/>
      <c r="AM11" s="10"/>
      <c r="AP11" s="11"/>
      <c r="AQ11" s="11"/>
    </row>
    <row r="12" spans="1:51" ht="24.75" customHeight="1" x14ac:dyDescent="0.25">
      <c r="A12" s="33" t="s">
        <v>27</v>
      </c>
      <c r="B12" s="121">
        <v>6</v>
      </c>
      <c r="C12" s="122"/>
      <c r="D12" s="117">
        <v>127</v>
      </c>
      <c r="E12" s="118"/>
      <c r="F12" s="10"/>
      <c r="G12" s="10"/>
      <c r="H12" s="115"/>
      <c r="I12" s="115"/>
      <c r="J12" s="115"/>
      <c r="K12" s="116"/>
      <c r="L12" s="23">
        <f>ROUNDDOWN(MOD($B12/64,2),0)</f>
        <v>0</v>
      </c>
      <c r="M12" s="23">
        <f>ROUNDDOWN(MOD($B12/32,2),0)</f>
        <v>0</v>
      </c>
      <c r="N12" s="23">
        <f>ROUNDDOWN(MOD($B12/16,2),0)</f>
        <v>0</v>
      </c>
      <c r="O12" s="23">
        <f>ROUNDDOWN(MOD($B12/8,2),0)</f>
        <v>0</v>
      </c>
      <c r="P12" s="23">
        <f>ROUNDDOWN(MOD($B12/4,2),0)</f>
        <v>1</v>
      </c>
      <c r="Q12" s="23">
        <f>ROUNDDOWN(MOD($B12/2,2),0)</f>
        <v>1</v>
      </c>
      <c r="R12" s="23">
        <f>ROUNDDOWN(MOD(B12,2),0)</f>
        <v>0</v>
      </c>
      <c r="S12" s="24"/>
      <c r="T12" s="25"/>
      <c r="U12" s="25"/>
      <c r="V12" s="25"/>
      <c r="W12" s="25"/>
      <c r="X12" s="25"/>
      <c r="Y12" s="25"/>
      <c r="Z12" s="25"/>
      <c r="AA12" s="26"/>
      <c r="AP12" s="11"/>
      <c r="AQ12" s="11"/>
      <c r="AR12" s="11"/>
      <c r="AS12" s="11"/>
      <c r="AT12" s="11"/>
      <c r="AU12" s="11"/>
      <c r="AV12" s="11"/>
      <c r="AW12" s="11"/>
      <c r="AX12" s="11"/>
      <c r="AY12" s="11"/>
    </row>
    <row r="13" spans="1:51" ht="24.75" customHeight="1" x14ac:dyDescent="0.25">
      <c r="A13" s="33" t="s">
        <v>28</v>
      </c>
      <c r="B13" s="121">
        <v>3</v>
      </c>
      <c r="C13" s="122"/>
      <c r="D13" s="117">
        <v>3</v>
      </c>
      <c r="E13" s="118"/>
      <c r="F13" s="10"/>
      <c r="G13" s="10"/>
      <c r="H13" s="115"/>
      <c r="I13" s="115"/>
      <c r="J13" s="115"/>
      <c r="K13" s="116"/>
      <c r="L13" s="23">
        <f>ROUNDDOWN(MOD(B13/2,2),0)</f>
        <v>1</v>
      </c>
      <c r="M13" s="23">
        <f>ROUNDDOWN(MOD(B13,2),0)</f>
        <v>1</v>
      </c>
      <c r="N13" s="24"/>
      <c r="O13" s="25"/>
      <c r="P13" s="25"/>
      <c r="Q13" s="25"/>
      <c r="R13" s="25"/>
      <c r="S13" s="27"/>
      <c r="T13" s="27"/>
      <c r="U13" s="27"/>
      <c r="V13" s="27"/>
      <c r="W13" s="27"/>
      <c r="X13" s="27"/>
      <c r="Y13" s="27"/>
      <c r="Z13" s="27"/>
      <c r="AA13" s="28"/>
      <c r="AP13" s="11"/>
      <c r="AQ13" s="11"/>
      <c r="AR13" s="11"/>
      <c r="AS13" s="11"/>
      <c r="AT13" s="11"/>
      <c r="AU13" s="11"/>
      <c r="AV13" s="11"/>
      <c r="AW13" s="11"/>
      <c r="AX13" s="11"/>
      <c r="AY13" s="11"/>
    </row>
    <row r="14" spans="1:51" ht="24.75" customHeight="1" x14ac:dyDescent="0.25">
      <c r="A14" s="33" t="s">
        <v>29</v>
      </c>
      <c r="B14" s="121">
        <v>3</v>
      </c>
      <c r="C14" s="122"/>
      <c r="D14" s="117">
        <v>3</v>
      </c>
      <c r="E14" s="118"/>
      <c r="F14" s="10"/>
      <c r="G14" s="10"/>
      <c r="H14" s="115"/>
      <c r="I14" s="115"/>
      <c r="J14" s="115"/>
      <c r="K14" s="116"/>
      <c r="L14" s="23">
        <f>ROUNDDOWN(MOD(B14/2,2),0)</f>
        <v>1</v>
      </c>
      <c r="M14" s="23">
        <f>ROUNDDOWN(MOD(B14,2),0)</f>
        <v>1</v>
      </c>
      <c r="N14" s="29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8"/>
      <c r="AP14" s="11"/>
      <c r="AQ14" s="11"/>
      <c r="AR14" s="11"/>
      <c r="AS14" s="11"/>
      <c r="AT14" s="11"/>
      <c r="AU14" s="11"/>
      <c r="AV14" s="11"/>
      <c r="AW14" s="11"/>
      <c r="AX14" s="11"/>
      <c r="AY14" s="11"/>
    </row>
    <row r="15" spans="1:51" ht="24.75" customHeight="1" thickBot="1" x14ac:dyDescent="0.3">
      <c r="A15" s="34" t="s">
        <v>30</v>
      </c>
      <c r="B15" s="113">
        <v>0</v>
      </c>
      <c r="C15" s="114"/>
      <c r="D15" s="117">
        <v>7</v>
      </c>
      <c r="E15" s="118"/>
      <c r="F15" s="10"/>
      <c r="G15" s="10"/>
      <c r="H15" s="115"/>
      <c r="I15" s="115"/>
      <c r="J15" s="115"/>
      <c r="K15" s="116"/>
      <c r="L15" s="23">
        <f>ROUNDDOWN(MOD($B15/4,2),0)</f>
        <v>0</v>
      </c>
      <c r="M15" s="23">
        <f>ROUNDDOWN(MOD($B15/2,2),0)</f>
        <v>0</v>
      </c>
      <c r="N15" s="23">
        <f>ROUNDDOWN(MOD($B15,2),0)</f>
        <v>0</v>
      </c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1"/>
      <c r="AP15" s="11"/>
      <c r="AQ15" s="11"/>
      <c r="AR15" s="11"/>
      <c r="AS15" s="11"/>
      <c r="AT15" s="11"/>
      <c r="AU15" s="11"/>
      <c r="AV15" s="11"/>
      <c r="AW15" s="11"/>
      <c r="AX15" s="11"/>
      <c r="AY15" s="11"/>
    </row>
    <row r="16" spans="1:51" x14ac:dyDescent="0.25">
      <c r="A16" s="45"/>
      <c r="B16" s="60"/>
      <c r="C16" s="43"/>
      <c r="D16" s="43"/>
      <c r="E16" s="43"/>
      <c r="F16" s="43"/>
      <c r="G16" s="43"/>
      <c r="H16" s="43"/>
      <c r="I16" s="43"/>
      <c r="J16" s="43"/>
      <c r="K16" s="43"/>
    </row>
    <row r="17" spans="1:14" x14ac:dyDescent="0.25">
      <c r="A17" s="45"/>
      <c r="B17" s="61"/>
      <c r="C17" s="62"/>
      <c r="D17" s="62"/>
      <c r="E17" s="62"/>
      <c r="F17" s="62"/>
      <c r="G17" s="62"/>
      <c r="H17" s="62"/>
      <c r="I17" s="62"/>
      <c r="J17" s="62"/>
      <c r="K17" s="62"/>
      <c r="L17" s="59"/>
      <c r="M17" s="59"/>
      <c r="N17" s="59"/>
    </row>
    <row r="18" spans="1:14" x14ac:dyDescent="0.25">
      <c r="A18" s="45"/>
      <c r="B18" s="61"/>
      <c r="C18" s="62"/>
      <c r="D18" s="62"/>
      <c r="E18" s="62"/>
      <c r="F18" s="62"/>
      <c r="G18" s="62"/>
      <c r="H18" s="62"/>
      <c r="I18" s="62"/>
      <c r="J18" s="62"/>
      <c r="K18" s="62"/>
      <c r="L18" s="59"/>
      <c r="M18" s="59"/>
      <c r="N18" s="59"/>
    </row>
    <row r="19" spans="1:14" x14ac:dyDescent="0.25">
      <c r="A19" s="45"/>
      <c r="B19" s="61" t="s">
        <v>103</v>
      </c>
      <c r="C19" s="61"/>
      <c r="D19" s="61"/>
      <c r="E19" s="61"/>
      <c r="F19" s="61"/>
      <c r="G19" s="61"/>
      <c r="H19" s="61"/>
      <c r="I19" s="61"/>
      <c r="J19" s="61"/>
      <c r="K19" s="62"/>
      <c r="L19" s="59"/>
      <c r="M19" s="59"/>
      <c r="N19" s="59"/>
    </row>
    <row r="20" spans="1:14" x14ac:dyDescent="0.25"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</row>
    <row r="21" spans="1:14" x14ac:dyDescent="0.25"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</row>
  </sheetData>
  <sheetProtection sheet="1" objects="1" scenarios="1"/>
  <mergeCells count="23">
    <mergeCell ref="B1:H1"/>
    <mergeCell ref="I1:L1"/>
    <mergeCell ref="B15:C15"/>
    <mergeCell ref="Z3:AC3"/>
    <mergeCell ref="AD3:AG3"/>
    <mergeCell ref="H11:K15"/>
    <mergeCell ref="D11:E11"/>
    <mergeCell ref="D12:E12"/>
    <mergeCell ref="D13:E13"/>
    <mergeCell ref="D14:E14"/>
    <mergeCell ref="D15:E15"/>
    <mergeCell ref="B11:C11"/>
    <mergeCell ref="B12:C12"/>
    <mergeCell ref="B13:C13"/>
    <mergeCell ref="B14:C14"/>
    <mergeCell ref="D10:E10"/>
    <mergeCell ref="AH3:AK3"/>
    <mergeCell ref="B3:E3"/>
    <mergeCell ref="F3:I3"/>
    <mergeCell ref="J3:M3"/>
    <mergeCell ref="N3:Q3"/>
    <mergeCell ref="R3:U3"/>
    <mergeCell ref="V3:Y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4"/>
  <sheetViews>
    <sheetView workbookViewId="0">
      <selection activeCell="D25" sqref="D25"/>
    </sheetView>
  </sheetViews>
  <sheetFormatPr defaultRowHeight="15" x14ac:dyDescent="0.25"/>
  <cols>
    <col min="1" max="3" width="9.140625" style="1"/>
    <col min="4" max="4" width="28.7109375" bestFit="1" customWidth="1"/>
    <col min="5" max="5" width="4.140625" customWidth="1"/>
    <col min="8" max="8" width="11.28515625" customWidth="1"/>
    <col min="9" max="9" width="29.5703125" customWidth="1"/>
    <col min="10" max="10" width="4" customWidth="1"/>
    <col min="11" max="11" width="13.42578125" customWidth="1"/>
    <col min="14" max="14" width="28.7109375" bestFit="1" customWidth="1"/>
    <col min="15" max="15" width="3.42578125" customWidth="1"/>
    <col min="19" max="19" width="28.7109375" bestFit="1" customWidth="1"/>
  </cols>
  <sheetData>
    <row r="1" spans="1:19" x14ac:dyDescent="0.25">
      <c r="A1" s="1" t="s">
        <v>14</v>
      </c>
      <c r="B1" s="1" t="s">
        <v>22</v>
      </c>
    </row>
    <row r="3" spans="1:19" x14ac:dyDescent="0.25">
      <c r="A3" s="2" t="s">
        <v>6</v>
      </c>
      <c r="B3" s="2" t="s">
        <v>3</v>
      </c>
      <c r="C3" s="2" t="b">
        <v>1</v>
      </c>
      <c r="D3" s="5"/>
      <c r="F3" s="3" t="s">
        <v>6</v>
      </c>
      <c r="G3" s="3" t="s">
        <v>3</v>
      </c>
      <c r="H3" s="3" t="b">
        <v>1</v>
      </c>
      <c r="I3" s="6"/>
      <c r="K3" s="2" t="s">
        <v>6</v>
      </c>
      <c r="L3" s="2" t="s">
        <v>3</v>
      </c>
      <c r="M3" s="2" t="b">
        <v>1</v>
      </c>
      <c r="N3" s="5"/>
      <c r="P3" s="3" t="s">
        <v>6</v>
      </c>
      <c r="Q3" s="3" t="s">
        <v>3</v>
      </c>
      <c r="R3" s="3" t="b">
        <v>1</v>
      </c>
      <c r="S3" s="6"/>
    </row>
    <row r="4" spans="1:19" x14ac:dyDescent="0.25">
      <c r="A4" s="2" t="str">
        <f>$B$1</f>
        <v>AH3</v>
      </c>
      <c r="B4" s="2">
        <v>0</v>
      </c>
      <c r="C4" s="2">
        <v>0</v>
      </c>
      <c r="D4" s="5" t="str">
        <f>CONCATENATE("IF(",A4,"=",B4,",",C4,",")</f>
        <v>IF(AH3=0,0,</v>
      </c>
      <c r="F4" s="3" t="str">
        <f>$B$1</f>
        <v>AH3</v>
      </c>
      <c r="G4" s="3">
        <v>0</v>
      </c>
      <c r="H4" s="3">
        <v>0</v>
      </c>
      <c r="I4" s="6" t="str">
        <f>CONCATENATE("IF(",F4,"=",G4,",",H4,",")</f>
        <v>IF(AH3=0,0,</v>
      </c>
      <c r="J4" s="4"/>
      <c r="K4" s="2" t="str">
        <f t="shared" ref="K4:K19" si="0">$B$1</f>
        <v>AH3</v>
      </c>
      <c r="L4" s="2">
        <v>0</v>
      </c>
      <c r="M4" s="2">
        <v>0</v>
      </c>
      <c r="N4" s="5" t="str">
        <f>CONCATENATE("IF(",K4,"=",L4,",",M4,",")</f>
        <v>IF(AH3=0,0,</v>
      </c>
      <c r="P4" s="3" t="str">
        <f t="shared" ref="P4:P19" si="1">$B$1</f>
        <v>AH3</v>
      </c>
      <c r="Q4" s="3">
        <v>0</v>
      </c>
      <c r="R4" s="3">
        <v>0</v>
      </c>
      <c r="S4" s="6" t="str">
        <f>CONCATENATE("IF(",P4,"=",Q4,",",R4,",")</f>
        <v>IF(AH3=0,0,</v>
      </c>
    </row>
    <row r="5" spans="1:19" x14ac:dyDescent="0.25">
      <c r="A5" s="2" t="str">
        <f t="shared" ref="A5:A19" si="2">$B$1</f>
        <v>AH3</v>
      </c>
      <c r="B5" s="2">
        <v>1</v>
      </c>
      <c r="C5" s="2">
        <v>0</v>
      </c>
      <c r="D5" s="5" t="str">
        <f t="shared" ref="D5:D18" si="3">CONCATENATE("IF(",A5,"=",B5,",",C5,",")</f>
        <v>IF(AH3=1,0,</v>
      </c>
      <c r="F5" s="3" t="str">
        <f t="shared" ref="F5:F19" si="4">$B$1</f>
        <v>AH3</v>
      </c>
      <c r="G5" s="3">
        <v>1</v>
      </c>
      <c r="H5" s="3">
        <v>0</v>
      </c>
      <c r="I5" s="6" t="str">
        <f t="shared" ref="I5:I18" si="5">CONCATENATE("IF(",F5,"=",G5,",",H5,",")</f>
        <v>IF(AH3=1,0,</v>
      </c>
      <c r="J5" s="4"/>
      <c r="K5" s="2" t="str">
        <f t="shared" si="0"/>
        <v>AH3</v>
      </c>
      <c r="L5" s="2">
        <v>1</v>
      </c>
      <c r="M5" s="2">
        <v>0</v>
      </c>
      <c r="N5" s="5" t="str">
        <f t="shared" ref="N5:N18" si="6">CONCATENATE("IF(",K5,"=",L5,",",M5,",")</f>
        <v>IF(AH3=1,0,</v>
      </c>
      <c r="P5" s="3" t="str">
        <f t="shared" si="1"/>
        <v>AH3</v>
      </c>
      <c r="Q5" s="3">
        <v>1</v>
      </c>
      <c r="R5" s="3">
        <v>1</v>
      </c>
      <c r="S5" s="6" t="str">
        <f t="shared" ref="S5:S18" si="7">CONCATENATE("IF(",P5,"=",Q5,",",R5,",")</f>
        <v>IF(AH3=1,1,</v>
      </c>
    </row>
    <row r="6" spans="1:19" x14ac:dyDescent="0.25">
      <c r="A6" s="2" t="str">
        <f t="shared" si="2"/>
        <v>AH3</v>
      </c>
      <c r="B6" s="2">
        <v>2</v>
      </c>
      <c r="C6" s="2">
        <v>0</v>
      </c>
      <c r="D6" s="5" t="str">
        <f t="shared" si="3"/>
        <v>IF(AH3=2,0,</v>
      </c>
      <c r="F6" s="3" t="str">
        <f t="shared" si="4"/>
        <v>AH3</v>
      </c>
      <c r="G6" s="3">
        <v>2</v>
      </c>
      <c r="H6" s="3">
        <v>0</v>
      </c>
      <c r="I6" s="6" t="str">
        <f t="shared" si="5"/>
        <v>IF(AH3=2,0,</v>
      </c>
      <c r="J6" s="4"/>
      <c r="K6" s="2" t="str">
        <f t="shared" si="0"/>
        <v>AH3</v>
      </c>
      <c r="L6" s="2">
        <v>2</v>
      </c>
      <c r="M6" s="2">
        <v>1</v>
      </c>
      <c r="N6" s="5" t="str">
        <f t="shared" si="6"/>
        <v>IF(AH3=2,1,</v>
      </c>
      <c r="P6" s="3" t="str">
        <f t="shared" si="1"/>
        <v>AH3</v>
      </c>
      <c r="Q6" s="3">
        <v>2</v>
      </c>
      <c r="R6" s="3">
        <v>0</v>
      </c>
      <c r="S6" s="6" t="str">
        <f t="shared" si="7"/>
        <v>IF(AH3=2,0,</v>
      </c>
    </row>
    <row r="7" spans="1:19" x14ac:dyDescent="0.25">
      <c r="A7" s="2" t="str">
        <f t="shared" si="2"/>
        <v>AH3</v>
      </c>
      <c r="B7" s="2">
        <v>3</v>
      </c>
      <c r="C7" s="2">
        <v>0</v>
      </c>
      <c r="D7" s="5" t="str">
        <f t="shared" si="3"/>
        <v>IF(AH3=3,0,</v>
      </c>
      <c r="F7" s="3" t="str">
        <f t="shared" si="4"/>
        <v>AH3</v>
      </c>
      <c r="G7" s="3">
        <v>3</v>
      </c>
      <c r="H7" s="3">
        <v>0</v>
      </c>
      <c r="I7" s="6" t="str">
        <f t="shared" si="5"/>
        <v>IF(AH3=3,0,</v>
      </c>
      <c r="J7" s="4"/>
      <c r="K7" s="2" t="str">
        <f t="shared" si="0"/>
        <v>AH3</v>
      </c>
      <c r="L7" s="2">
        <v>3</v>
      </c>
      <c r="M7" s="2">
        <v>1</v>
      </c>
      <c r="N7" s="5" t="str">
        <f t="shared" si="6"/>
        <v>IF(AH3=3,1,</v>
      </c>
      <c r="P7" s="3" t="str">
        <f t="shared" si="1"/>
        <v>AH3</v>
      </c>
      <c r="Q7" s="3">
        <v>3</v>
      </c>
      <c r="R7" s="3">
        <v>1</v>
      </c>
      <c r="S7" s="6" t="str">
        <f t="shared" si="7"/>
        <v>IF(AH3=3,1,</v>
      </c>
    </row>
    <row r="8" spans="1:19" x14ac:dyDescent="0.25">
      <c r="A8" s="2" t="str">
        <f t="shared" si="2"/>
        <v>AH3</v>
      </c>
      <c r="B8" s="2">
        <v>4</v>
      </c>
      <c r="C8" s="2">
        <v>0</v>
      </c>
      <c r="D8" s="5" t="str">
        <f t="shared" si="3"/>
        <v>IF(AH3=4,0,</v>
      </c>
      <c r="F8" s="3" t="str">
        <f t="shared" si="4"/>
        <v>AH3</v>
      </c>
      <c r="G8" s="3">
        <v>4</v>
      </c>
      <c r="H8" s="3">
        <v>1</v>
      </c>
      <c r="I8" s="6" t="str">
        <f t="shared" si="5"/>
        <v>IF(AH3=4,1,</v>
      </c>
      <c r="J8" s="4"/>
      <c r="K8" s="2" t="str">
        <f t="shared" si="0"/>
        <v>AH3</v>
      </c>
      <c r="L8" s="2">
        <v>4</v>
      </c>
      <c r="M8" s="2">
        <v>0</v>
      </c>
      <c r="N8" s="5" t="str">
        <f t="shared" si="6"/>
        <v>IF(AH3=4,0,</v>
      </c>
      <c r="P8" s="3" t="str">
        <f t="shared" si="1"/>
        <v>AH3</v>
      </c>
      <c r="Q8" s="3">
        <v>4</v>
      </c>
      <c r="R8" s="3">
        <v>0</v>
      </c>
      <c r="S8" s="6" t="str">
        <f t="shared" si="7"/>
        <v>IF(AH3=4,0,</v>
      </c>
    </row>
    <row r="9" spans="1:19" x14ac:dyDescent="0.25">
      <c r="A9" s="2" t="str">
        <f t="shared" si="2"/>
        <v>AH3</v>
      </c>
      <c r="B9" s="2">
        <v>5</v>
      </c>
      <c r="C9" s="2">
        <v>0</v>
      </c>
      <c r="D9" s="5" t="str">
        <f t="shared" si="3"/>
        <v>IF(AH3=5,0,</v>
      </c>
      <c r="F9" s="3" t="str">
        <f t="shared" si="4"/>
        <v>AH3</v>
      </c>
      <c r="G9" s="3">
        <v>5</v>
      </c>
      <c r="H9" s="3">
        <v>1</v>
      </c>
      <c r="I9" s="6" t="str">
        <f t="shared" si="5"/>
        <v>IF(AH3=5,1,</v>
      </c>
      <c r="J9" s="4"/>
      <c r="K9" s="2" t="str">
        <f t="shared" si="0"/>
        <v>AH3</v>
      </c>
      <c r="L9" s="2">
        <v>5</v>
      </c>
      <c r="M9" s="2">
        <v>0</v>
      </c>
      <c r="N9" s="5" t="str">
        <f t="shared" si="6"/>
        <v>IF(AH3=5,0,</v>
      </c>
      <c r="P9" s="3" t="str">
        <f t="shared" si="1"/>
        <v>AH3</v>
      </c>
      <c r="Q9" s="3">
        <v>5</v>
      </c>
      <c r="R9" s="3">
        <v>1</v>
      </c>
      <c r="S9" s="6" t="str">
        <f t="shared" si="7"/>
        <v>IF(AH3=5,1,</v>
      </c>
    </row>
    <row r="10" spans="1:19" x14ac:dyDescent="0.25">
      <c r="A10" s="2" t="str">
        <f t="shared" si="2"/>
        <v>AH3</v>
      </c>
      <c r="B10" s="2">
        <v>6</v>
      </c>
      <c r="C10" s="2">
        <v>0</v>
      </c>
      <c r="D10" s="5" t="str">
        <f t="shared" si="3"/>
        <v>IF(AH3=6,0,</v>
      </c>
      <c r="F10" s="3" t="str">
        <f t="shared" si="4"/>
        <v>AH3</v>
      </c>
      <c r="G10" s="3">
        <v>6</v>
      </c>
      <c r="H10" s="3">
        <v>1</v>
      </c>
      <c r="I10" s="6" t="str">
        <f t="shared" si="5"/>
        <v>IF(AH3=6,1,</v>
      </c>
      <c r="J10" s="4"/>
      <c r="K10" s="2" t="str">
        <f t="shared" si="0"/>
        <v>AH3</v>
      </c>
      <c r="L10" s="2">
        <v>6</v>
      </c>
      <c r="M10" s="2">
        <v>1</v>
      </c>
      <c r="N10" s="5" t="str">
        <f t="shared" si="6"/>
        <v>IF(AH3=6,1,</v>
      </c>
      <c r="P10" s="3" t="str">
        <f t="shared" si="1"/>
        <v>AH3</v>
      </c>
      <c r="Q10" s="3">
        <v>6</v>
      </c>
      <c r="R10" s="3">
        <v>0</v>
      </c>
      <c r="S10" s="6" t="str">
        <f t="shared" si="7"/>
        <v>IF(AH3=6,0,</v>
      </c>
    </row>
    <row r="11" spans="1:19" x14ac:dyDescent="0.25">
      <c r="A11" s="2" t="str">
        <f t="shared" si="2"/>
        <v>AH3</v>
      </c>
      <c r="B11" s="2">
        <v>7</v>
      </c>
      <c r="C11" s="2">
        <v>0</v>
      </c>
      <c r="D11" s="5" t="str">
        <f t="shared" si="3"/>
        <v>IF(AH3=7,0,</v>
      </c>
      <c r="F11" s="3" t="str">
        <f t="shared" si="4"/>
        <v>AH3</v>
      </c>
      <c r="G11" s="3">
        <v>7</v>
      </c>
      <c r="H11" s="3">
        <v>1</v>
      </c>
      <c r="I11" s="6" t="str">
        <f t="shared" si="5"/>
        <v>IF(AH3=7,1,</v>
      </c>
      <c r="J11" s="4"/>
      <c r="K11" s="2" t="str">
        <f t="shared" si="0"/>
        <v>AH3</v>
      </c>
      <c r="L11" s="2">
        <v>7</v>
      </c>
      <c r="M11" s="2">
        <v>1</v>
      </c>
      <c r="N11" s="5" t="str">
        <f t="shared" si="6"/>
        <v>IF(AH3=7,1,</v>
      </c>
      <c r="P11" s="3" t="str">
        <f t="shared" si="1"/>
        <v>AH3</v>
      </c>
      <c r="Q11" s="3">
        <v>7</v>
      </c>
      <c r="R11" s="3">
        <v>1</v>
      </c>
      <c r="S11" s="6" t="str">
        <f t="shared" si="7"/>
        <v>IF(AH3=7,1,</v>
      </c>
    </row>
    <row r="12" spans="1:19" x14ac:dyDescent="0.25">
      <c r="A12" s="2" t="str">
        <f t="shared" si="2"/>
        <v>AH3</v>
      </c>
      <c r="B12" s="2">
        <v>8</v>
      </c>
      <c r="C12" s="2">
        <v>1</v>
      </c>
      <c r="D12" s="5" t="str">
        <f t="shared" si="3"/>
        <v>IF(AH3=8,1,</v>
      </c>
      <c r="F12" s="3" t="str">
        <f t="shared" si="4"/>
        <v>AH3</v>
      </c>
      <c r="G12" s="3">
        <v>8</v>
      </c>
      <c r="H12" s="3">
        <v>0</v>
      </c>
      <c r="I12" s="6" t="str">
        <f t="shared" si="5"/>
        <v>IF(AH3=8,0,</v>
      </c>
      <c r="J12" s="4"/>
      <c r="K12" s="2" t="str">
        <f t="shared" si="0"/>
        <v>AH3</v>
      </c>
      <c r="L12" s="2">
        <v>8</v>
      </c>
      <c r="M12" s="2">
        <v>0</v>
      </c>
      <c r="N12" s="5" t="str">
        <f t="shared" si="6"/>
        <v>IF(AH3=8,0,</v>
      </c>
      <c r="P12" s="3" t="str">
        <f t="shared" si="1"/>
        <v>AH3</v>
      </c>
      <c r="Q12" s="3">
        <v>8</v>
      </c>
      <c r="R12" s="3">
        <v>0</v>
      </c>
      <c r="S12" s="6" t="str">
        <f t="shared" si="7"/>
        <v>IF(AH3=8,0,</v>
      </c>
    </row>
    <row r="13" spans="1:19" x14ac:dyDescent="0.25">
      <c r="A13" s="2" t="str">
        <f t="shared" si="2"/>
        <v>AH3</v>
      </c>
      <c r="B13" s="2">
        <v>9</v>
      </c>
      <c r="C13" s="2">
        <v>1</v>
      </c>
      <c r="D13" s="5" t="str">
        <f t="shared" si="3"/>
        <v>IF(AH3=9,1,</v>
      </c>
      <c r="F13" s="3" t="str">
        <f t="shared" si="4"/>
        <v>AH3</v>
      </c>
      <c r="G13" s="3">
        <v>9</v>
      </c>
      <c r="H13" s="3">
        <v>0</v>
      </c>
      <c r="I13" s="6" t="str">
        <f t="shared" si="5"/>
        <v>IF(AH3=9,0,</v>
      </c>
      <c r="J13" s="4"/>
      <c r="K13" s="2" t="str">
        <f t="shared" si="0"/>
        <v>AH3</v>
      </c>
      <c r="L13" s="2">
        <v>9</v>
      </c>
      <c r="M13" s="2">
        <v>0</v>
      </c>
      <c r="N13" s="5" t="str">
        <f t="shared" si="6"/>
        <v>IF(AH3=9,0,</v>
      </c>
      <c r="P13" s="3" t="str">
        <f t="shared" si="1"/>
        <v>AH3</v>
      </c>
      <c r="Q13" s="3">
        <v>9</v>
      </c>
      <c r="R13" s="3">
        <v>1</v>
      </c>
      <c r="S13" s="6" t="str">
        <f t="shared" si="7"/>
        <v>IF(AH3=9,1,</v>
      </c>
    </row>
    <row r="14" spans="1:19" x14ac:dyDescent="0.25">
      <c r="A14" s="2" t="str">
        <f t="shared" si="2"/>
        <v>AH3</v>
      </c>
      <c r="B14" s="2" t="s">
        <v>7</v>
      </c>
      <c r="C14" s="2">
        <v>1</v>
      </c>
      <c r="D14" s="5" t="str">
        <f t="shared" si="3"/>
        <v>IF(AH3="A",1,</v>
      </c>
      <c r="F14" s="3" t="str">
        <f t="shared" si="4"/>
        <v>AH3</v>
      </c>
      <c r="G14" s="3" t="s">
        <v>7</v>
      </c>
      <c r="H14" s="3">
        <v>0</v>
      </c>
      <c r="I14" s="6" t="str">
        <f t="shared" si="5"/>
        <v>IF(AH3="A",0,</v>
      </c>
      <c r="J14" s="4"/>
      <c r="K14" s="2" t="str">
        <f t="shared" si="0"/>
        <v>AH3</v>
      </c>
      <c r="L14" s="2" t="s">
        <v>7</v>
      </c>
      <c r="M14" s="2">
        <v>1</v>
      </c>
      <c r="N14" s="5" t="str">
        <f t="shared" si="6"/>
        <v>IF(AH3="A",1,</v>
      </c>
      <c r="P14" s="3" t="str">
        <f t="shared" si="1"/>
        <v>AH3</v>
      </c>
      <c r="Q14" s="3" t="s">
        <v>7</v>
      </c>
      <c r="R14" s="3">
        <v>0</v>
      </c>
      <c r="S14" s="6" t="str">
        <f t="shared" si="7"/>
        <v>IF(AH3="A",0,</v>
      </c>
    </row>
    <row r="15" spans="1:19" x14ac:dyDescent="0.25">
      <c r="A15" s="2" t="str">
        <f t="shared" si="2"/>
        <v>AH3</v>
      </c>
      <c r="B15" s="2" t="s">
        <v>8</v>
      </c>
      <c r="C15" s="2">
        <v>1</v>
      </c>
      <c r="D15" s="5" t="str">
        <f t="shared" si="3"/>
        <v>IF(AH3="B",1,</v>
      </c>
      <c r="F15" s="3" t="str">
        <f t="shared" si="4"/>
        <v>AH3</v>
      </c>
      <c r="G15" s="3" t="s">
        <v>8</v>
      </c>
      <c r="H15" s="3">
        <v>0</v>
      </c>
      <c r="I15" s="6" t="str">
        <f t="shared" si="5"/>
        <v>IF(AH3="B",0,</v>
      </c>
      <c r="J15" s="4"/>
      <c r="K15" s="2" t="str">
        <f t="shared" si="0"/>
        <v>AH3</v>
      </c>
      <c r="L15" s="2" t="s">
        <v>8</v>
      </c>
      <c r="M15" s="2">
        <v>1</v>
      </c>
      <c r="N15" s="5" t="str">
        <f t="shared" si="6"/>
        <v>IF(AH3="B",1,</v>
      </c>
      <c r="P15" s="3" t="str">
        <f t="shared" si="1"/>
        <v>AH3</v>
      </c>
      <c r="Q15" s="3" t="s">
        <v>8</v>
      </c>
      <c r="R15" s="3">
        <v>1</v>
      </c>
      <c r="S15" s="6" t="str">
        <f t="shared" si="7"/>
        <v>IF(AH3="B",1,</v>
      </c>
    </row>
    <row r="16" spans="1:19" x14ac:dyDescent="0.25">
      <c r="A16" s="2" t="str">
        <f t="shared" si="2"/>
        <v>AH3</v>
      </c>
      <c r="B16" s="2" t="s">
        <v>9</v>
      </c>
      <c r="C16" s="2">
        <v>1</v>
      </c>
      <c r="D16" s="5" t="str">
        <f t="shared" si="3"/>
        <v>IF(AH3="C",1,</v>
      </c>
      <c r="F16" s="3" t="str">
        <f t="shared" si="4"/>
        <v>AH3</v>
      </c>
      <c r="G16" s="3" t="s">
        <v>9</v>
      </c>
      <c r="H16" s="3">
        <v>1</v>
      </c>
      <c r="I16" s="6" t="str">
        <f t="shared" si="5"/>
        <v>IF(AH3="C",1,</v>
      </c>
      <c r="J16" s="4"/>
      <c r="K16" s="2" t="str">
        <f t="shared" si="0"/>
        <v>AH3</v>
      </c>
      <c r="L16" s="2" t="s">
        <v>9</v>
      </c>
      <c r="M16" s="2">
        <v>0</v>
      </c>
      <c r="N16" s="5" t="str">
        <f t="shared" si="6"/>
        <v>IF(AH3="C",0,</v>
      </c>
      <c r="P16" s="3" t="str">
        <f t="shared" si="1"/>
        <v>AH3</v>
      </c>
      <c r="Q16" s="3" t="s">
        <v>9</v>
      </c>
      <c r="R16" s="3">
        <v>0</v>
      </c>
      <c r="S16" s="6" t="str">
        <f t="shared" si="7"/>
        <v>IF(AH3="C",0,</v>
      </c>
    </row>
    <row r="17" spans="1:20" x14ac:dyDescent="0.25">
      <c r="A17" s="2" t="str">
        <f t="shared" si="2"/>
        <v>AH3</v>
      </c>
      <c r="B17" s="2" t="s">
        <v>10</v>
      </c>
      <c r="C17" s="2">
        <v>1</v>
      </c>
      <c r="D17" s="5" t="str">
        <f t="shared" si="3"/>
        <v>IF(AH3="D",1,</v>
      </c>
      <c r="F17" s="3" t="str">
        <f t="shared" si="4"/>
        <v>AH3</v>
      </c>
      <c r="G17" s="3" t="s">
        <v>10</v>
      </c>
      <c r="H17" s="3">
        <v>1</v>
      </c>
      <c r="I17" s="6" t="str">
        <f t="shared" si="5"/>
        <v>IF(AH3="D",1,</v>
      </c>
      <c r="J17" s="4"/>
      <c r="K17" s="2" t="str">
        <f t="shared" si="0"/>
        <v>AH3</v>
      </c>
      <c r="L17" s="2" t="s">
        <v>10</v>
      </c>
      <c r="M17" s="2">
        <v>0</v>
      </c>
      <c r="N17" s="5" t="str">
        <f t="shared" si="6"/>
        <v>IF(AH3="D",0,</v>
      </c>
      <c r="P17" s="3" t="str">
        <f t="shared" si="1"/>
        <v>AH3</v>
      </c>
      <c r="Q17" s="3" t="s">
        <v>10</v>
      </c>
      <c r="R17" s="3">
        <v>1</v>
      </c>
      <c r="S17" s="6" t="str">
        <f t="shared" si="7"/>
        <v>IF(AH3="D",1,</v>
      </c>
    </row>
    <row r="18" spans="1:20" x14ac:dyDescent="0.25">
      <c r="A18" s="2" t="str">
        <f t="shared" si="2"/>
        <v>AH3</v>
      </c>
      <c r="B18" s="2" t="s">
        <v>11</v>
      </c>
      <c r="C18" s="2">
        <v>1</v>
      </c>
      <c r="D18" s="5" t="str">
        <f t="shared" si="3"/>
        <v>IF(AH3="E",1,</v>
      </c>
      <c r="F18" s="3" t="str">
        <f t="shared" si="4"/>
        <v>AH3</v>
      </c>
      <c r="G18" s="3" t="s">
        <v>11</v>
      </c>
      <c r="H18" s="3">
        <v>1</v>
      </c>
      <c r="I18" s="6" t="str">
        <f t="shared" si="5"/>
        <v>IF(AH3="E",1,</v>
      </c>
      <c r="J18" s="4"/>
      <c r="K18" s="2" t="str">
        <f t="shared" si="0"/>
        <v>AH3</v>
      </c>
      <c r="L18" s="2" t="s">
        <v>11</v>
      </c>
      <c r="M18" s="2">
        <v>1</v>
      </c>
      <c r="N18" s="5" t="str">
        <f t="shared" si="6"/>
        <v>IF(AH3="E",1,</v>
      </c>
      <c r="P18" s="3" t="str">
        <f t="shared" si="1"/>
        <v>AH3</v>
      </c>
      <c r="Q18" s="3" t="s">
        <v>11</v>
      </c>
      <c r="R18" s="3">
        <v>0</v>
      </c>
      <c r="S18" s="6" t="str">
        <f t="shared" si="7"/>
        <v>IF(AH3="E",0,</v>
      </c>
    </row>
    <row r="19" spans="1:20" x14ac:dyDescent="0.25">
      <c r="A19" s="2" t="str">
        <f t="shared" si="2"/>
        <v>AH3</v>
      </c>
      <c r="B19" s="2" t="s">
        <v>12</v>
      </c>
      <c r="C19" s="2">
        <v>1</v>
      </c>
      <c r="D19" s="5" t="str">
        <f>CONCATENATE("IF(",A19,"=",B19,",",C19,",1))))))))))))))))")</f>
        <v>IF(AH3="F",1,1))))))))))))))))</v>
      </c>
      <c r="F19" s="3" t="str">
        <f t="shared" si="4"/>
        <v>AH3</v>
      </c>
      <c r="G19" s="3" t="s">
        <v>12</v>
      </c>
      <c r="H19" s="3">
        <v>1</v>
      </c>
      <c r="I19" s="6" t="str">
        <f>CONCATENATE("IF(",F19,"=",G19,",",H19,",1))))))))))))))))")</f>
        <v>IF(AH3="F",1,1))))))))))))))))</v>
      </c>
      <c r="J19" s="4"/>
      <c r="K19" s="2" t="str">
        <f t="shared" si="0"/>
        <v>AH3</v>
      </c>
      <c r="L19" s="2" t="s">
        <v>12</v>
      </c>
      <c r="M19" s="2">
        <v>1</v>
      </c>
      <c r="N19" s="5" t="str">
        <f>CONCATENATE("IF(",K19,"=",L19,",",M19,",1))))))))))))))))")</f>
        <v>IF(AH3="F",1,1))))))))))))))))</v>
      </c>
      <c r="P19" s="3" t="str">
        <f t="shared" si="1"/>
        <v>AH3</v>
      </c>
      <c r="Q19" s="3" t="s">
        <v>12</v>
      </c>
      <c r="R19" s="3">
        <v>1</v>
      </c>
      <c r="S19" s="6" t="str">
        <f>CONCATENATE("IF(",P19,"=",Q19,",",R19,",1))))))))))))))))")</f>
        <v>IF(AH3="F",1,1))))))))))))))))</v>
      </c>
    </row>
    <row r="21" spans="1:20" x14ac:dyDescent="0.25">
      <c r="A21" s="7" t="str">
        <f>CONCATENATE(D4,D5,D6,D7,D8,D9,D10,D11,D12,D13,D14,D15,D16,D17,D18,D19)</f>
        <v>IF(AH3=0,0,IF(AH3=1,0,IF(AH3=2,0,IF(AH3=3,0,IF(AH3=4,0,IF(AH3=5,0,IF(AH3=6,0,IF(AH3=7,0,IF(AH3=8,1,IF(AH3=9,1,IF(AH3="A",1,IF(AH3="B",1,IF(AH3="C",1,IF(AH3="D",1,IF(AH3="E",1,IF(AH3="F",1,1))))))))))))))))</v>
      </c>
      <c r="B21" s="8"/>
      <c r="C21" s="8"/>
      <c r="D21" s="9"/>
      <c r="E21" t="s">
        <v>13</v>
      </c>
      <c r="F21" s="7" t="str">
        <f>CONCATENATE(I4,I5,I6,I7,I8,I9,I10,I11,I12,I13,I14,I15,I16,I17,I18,I19)</f>
        <v>IF(AH3=0,0,IF(AH3=1,0,IF(AH3=2,0,IF(AH3=3,0,IF(AH3=4,1,IF(AH3=5,1,IF(AH3=6,1,IF(AH3=7,1,IF(AH3=8,0,IF(AH3=9,0,IF(AH3="A",0,IF(AH3="B",0,IF(AH3="C",1,IF(AH3="D",1,IF(AH3="E",1,IF(AH3="F",1,1))))))))))))))))</v>
      </c>
      <c r="G21" s="8"/>
      <c r="H21" s="8"/>
      <c r="I21" s="9"/>
      <c r="J21" t="s">
        <v>13</v>
      </c>
      <c r="K21" s="7" t="str">
        <f>CONCATENATE(N4,N5,N6,N7,N8,N9,N10,N11,N12,N13,N14,N15,N16,N17,N18,N19)</f>
        <v>IF(AH3=0,0,IF(AH3=1,0,IF(AH3=2,1,IF(AH3=3,1,IF(AH3=4,0,IF(AH3=5,0,IF(AH3=6,1,IF(AH3=7,1,IF(AH3=8,0,IF(AH3=9,0,IF(AH3="A",1,IF(AH3="B",1,IF(AH3="C",0,IF(AH3="D",0,IF(AH3="E",1,IF(AH3="F",1,1))))))))))))))))</v>
      </c>
      <c r="L21" s="8"/>
      <c r="M21" s="8"/>
      <c r="N21" s="9"/>
      <c r="O21" t="s">
        <v>13</v>
      </c>
      <c r="P21" s="7" t="str">
        <f>CONCATENATE(S4,S5,S6,S7,S8,S9,S10,S11,S12,S13,S14,S15,S16,S17,S18,S19)</f>
        <v>IF(AH3=0,0,IF(AH3=1,1,IF(AH3=2,0,IF(AH3=3,1,IF(AH3=4,0,IF(AH3=5,1,IF(AH3=6,0,IF(AH3=7,1,IF(AH3=8,0,IF(AH3=9,1,IF(AH3="A",0,IF(AH3="B",1,IF(AH3="C",0,IF(AH3="D",1,IF(AH3="E",0,IF(AH3="F",1,1))))))))))))))))</v>
      </c>
      <c r="Q21" s="8"/>
      <c r="R21" s="8"/>
      <c r="S21" s="9"/>
      <c r="T21" t="s">
        <v>13</v>
      </c>
    </row>
    <row r="22" spans="1:20" x14ac:dyDescent="0.25">
      <c r="A22" s="1" t="s">
        <v>25</v>
      </c>
      <c r="F22" t="s">
        <v>24</v>
      </c>
      <c r="P22" t="s">
        <v>23</v>
      </c>
    </row>
    <row r="24" spans="1:20" x14ac:dyDescent="0.25">
      <c r="A24" s="1" t="s">
        <v>15</v>
      </c>
      <c r="B24" s="1" t="s">
        <v>16</v>
      </c>
      <c r="C24" s="1" t="s">
        <v>17</v>
      </c>
      <c r="D24" s="1" t="s">
        <v>18</v>
      </c>
      <c r="E24" s="1" t="s">
        <v>19</v>
      </c>
      <c r="F24" s="1" t="s">
        <v>20</v>
      </c>
      <c r="G24" s="1" t="s">
        <v>21</v>
      </c>
      <c r="H24" s="1" t="s">
        <v>5</v>
      </c>
      <c r="I24" s="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AQ12"/>
  <sheetViews>
    <sheetView topLeftCell="G3" workbookViewId="0">
      <selection activeCell="H13" sqref="H13"/>
    </sheetView>
  </sheetViews>
  <sheetFormatPr defaultRowHeight="15" x14ac:dyDescent="0.25"/>
  <cols>
    <col min="7" max="7" width="12" bestFit="1" customWidth="1"/>
    <col min="8" max="8" width="16.7109375" style="47" customWidth="1"/>
    <col min="9" max="9" width="16.7109375" style="48" customWidth="1"/>
    <col min="10" max="10" width="16.7109375" style="49" customWidth="1"/>
    <col min="11" max="11" width="16.7109375" style="50" customWidth="1"/>
    <col min="12" max="43" width="16.7109375" customWidth="1"/>
  </cols>
  <sheetData>
    <row r="3" spans="2:43" x14ac:dyDescent="0.25">
      <c r="B3" t="s">
        <v>34</v>
      </c>
      <c r="C3" t="s">
        <v>35</v>
      </c>
      <c r="H3" s="47" t="s">
        <v>26</v>
      </c>
      <c r="I3" s="48" t="s">
        <v>27</v>
      </c>
    </row>
    <row r="4" spans="2:43" x14ac:dyDescent="0.25">
      <c r="B4">
        <v>1</v>
      </c>
      <c r="C4">
        <v>8</v>
      </c>
      <c r="D4">
        <f>IF(B4=1,8,0)</f>
        <v>8</v>
      </c>
      <c r="G4" t="s">
        <v>36</v>
      </c>
    </row>
    <row r="5" spans="2:43" x14ac:dyDescent="0.25">
      <c r="B5">
        <v>0</v>
      </c>
      <c r="C5">
        <v>4</v>
      </c>
      <c r="D5">
        <f>IF(B5=1,4,0)</f>
        <v>0</v>
      </c>
    </row>
    <row r="6" spans="2:43" x14ac:dyDescent="0.25">
      <c r="B6">
        <v>1</v>
      </c>
      <c r="C6">
        <v>2</v>
      </c>
      <c r="D6">
        <f>IF(B6=1,2,0)</f>
        <v>2</v>
      </c>
      <c r="H6" s="47">
        <v>3</v>
      </c>
      <c r="I6" s="48">
        <v>2</v>
      </c>
      <c r="J6" s="48">
        <v>1</v>
      </c>
      <c r="K6" s="51">
        <v>0</v>
      </c>
      <c r="L6" s="46">
        <v>3</v>
      </c>
      <c r="M6" s="46">
        <v>2</v>
      </c>
      <c r="N6" s="46">
        <v>1</v>
      </c>
      <c r="O6" s="46">
        <v>0</v>
      </c>
      <c r="P6" s="46">
        <v>3</v>
      </c>
      <c r="Q6" s="46">
        <v>2</v>
      </c>
      <c r="R6" s="46">
        <v>1</v>
      </c>
      <c r="S6" s="46">
        <v>0</v>
      </c>
      <c r="T6" s="46">
        <v>3</v>
      </c>
      <c r="U6" s="46">
        <v>2</v>
      </c>
      <c r="V6" s="46">
        <v>1</v>
      </c>
      <c r="W6" s="46">
        <v>0</v>
      </c>
    </row>
    <row r="7" spans="2:43" x14ac:dyDescent="0.25">
      <c r="B7">
        <v>0</v>
      </c>
      <c r="C7">
        <v>1</v>
      </c>
      <c r="D7">
        <f>IF(B7=1,1,0)</f>
        <v>0</v>
      </c>
      <c r="G7" t="s">
        <v>27</v>
      </c>
      <c r="H7" s="47" t="s">
        <v>41</v>
      </c>
      <c r="I7" s="48" t="s">
        <v>42</v>
      </c>
      <c r="J7" s="48" t="s">
        <v>32</v>
      </c>
      <c r="K7" s="51" t="s">
        <v>4</v>
      </c>
      <c r="L7" s="46" t="s">
        <v>5</v>
      </c>
      <c r="M7" s="46" t="s">
        <v>43</v>
      </c>
      <c r="N7" s="46" t="s">
        <v>44</v>
      </c>
      <c r="O7" s="46" t="s">
        <v>45</v>
      </c>
      <c r="P7" s="46" t="s">
        <v>21</v>
      </c>
      <c r="Q7" s="46" t="s">
        <v>46</v>
      </c>
      <c r="R7" s="46" t="s">
        <v>47</v>
      </c>
      <c r="S7" s="46" t="s">
        <v>48</v>
      </c>
      <c r="T7" s="46" t="s">
        <v>20</v>
      </c>
      <c r="U7" s="46" t="s">
        <v>49</v>
      </c>
      <c r="V7" s="46" t="s">
        <v>50</v>
      </c>
      <c r="W7" s="46" t="s">
        <v>51</v>
      </c>
      <c r="X7" s="46" t="s">
        <v>19</v>
      </c>
      <c r="Y7" s="46" t="s">
        <v>52</v>
      </c>
      <c r="Z7" s="46" t="s">
        <v>53</v>
      </c>
      <c r="AA7" s="46" t="s">
        <v>54</v>
      </c>
      <c r="AB7" s="46" t="s">
        <v>18</v>
      </c>
      <c r="AC7" s="46" t="s">
        <v>55</v>
      </c>
      <c r="AD7" s="46" t="s">
        <v>56</v>
      </c>
      <c r="AE7" s="46" t="s">
        <v>57</v>
      </c>
      <c r="AF7" s="46" t="s">
        <v>17</v>
      </c>
      <c r="AG7" s="46" t="s">
        <v>58</v>
      </c>
      <c r="AH7" s="46" t="s">
        <v>59</v>
      </c>
      <c r="AI7" s="46" t="s">
        <v>60</v>
      </c>
      <c r="AJ7" s="46" t="s">
        <v>16</v>
      </c>
      <c r="AK7" s="46" t="s">
        <v>61</v>
      </c>
      <c r="AL7" s="46" t="s">
        <v>62</v>
      </c>
      <c r="AM7" s="46" t="s">
        <v>63</v>
      </c>
      <c r="AN7" s="46" t="s">
        <v>15</v>
      </c>
      <c r="AO7" s="46" t="s">
        <v>40</v>
      </c>
      <c r="AP7" s="46" t="s">
        <v>39</v>
      </c>
      <c r="AQ7" s="46" t="s">
        <v>38</v>
      </c>
    </row>
    <row r="8" spans="2:43" x14ac:dyDescent="0.25">
      <c r="D8">
        <f>D4+D5+D6+D7</f>
        <v>10</v>
      </c>
      <c r="F8" t="str">
        <f>IF((D4+D5+D6+D7)=10, "A", IF((D4+D5+D6+D7)=11,"B",D8))</f>
        <v>A</v>
      </c>
      <c r="G8" t="s">
        <v>26</v>
      </c>
      <c r="H8" s="47">
        <v>5</v>
      </c>
      <c r="I8" s="48">
        <v>5</v>
      </c>
      <c r="J8" s="48">
        <v>5</v>
      </c>
      <c r="K8" s="51">
        <v>5</v>
      </c>
      <c r="L8" s="46">
        <v>5</v>
      </c>
      <c r="M8" s="46">
        <v>5</v>
      </c>
      <c r="N8" s="46">
        <v>5</v>
      </c>
      <c r="O8" s="46">
        <v>5</v>
      </c>
      <c r="P8" s="46">
        <v>5</v>
      </c>
      <c r="Q8" s="46">
        <v>5</v>
      </c>
      <c r="R8" s="46">
        <v>5</v>
      </c>
      <c r="S8" s="46">
        <v>5</v>
      </c>
      <c r="T8" s="46">
        <v>5</v>
      </c>
      <c r="U8" s="46">
        <v>5</v>
      </c>
      <c r="V8" s="46">
        <v>5</v>
      </c>
      <c r="W8" s="46">
        <v>5</v>
      </c>
      <c r="X8" s="46">
        <v>5</v>
      </c>
      <c r="Y8" s="46">
        <v>5</v>
      </c>
      <c r="Z8" s="46">
        <v>5</v>
      </c>
      <c r="AA8" s="46">
        <v>5</v>
      </c>
      <c r="AB8" s="46">
        <v>5</v>
      </c>
      <c r="AC8" s="46">
        <v>5</v>
      </c>
      <c r="AD8" s="46">
        <v>5</v>
      </c>
      <c r="AE8" s="46">
        <v>5</v>
      </c>
      <c r="AF8" s="46">
        <v>5</v>
      </c>
      <c r="AG8" s="46">
        <v>5</v>
      </c>
      <c r="AH8" s="46">
        <v>5</v>
      </c>
      <c r="AI8" s="46">
        <v>5</v>
      </c>
      <c r="AJ8" s="46">
        <v>5</v>
      </c>
      <c r="AK8" s="46">
        <v>5</v>
      </c>
      <c r="AL8" s="46">
        <v>5</v>
      </c>
      <c r="AM8" s="46">
        <v>5</v>
      </c>
      <c r="AN8" s="46">
        <v>5</v>
      </c>
      <c r="AO8" s="46">
        <v>5</v>
      </c>
      <c r="AP8" s="46">
        <v>5</v>
      </c>
      <c r="AQ8" s="46">
        <v>5</v>
      </c>
    </row>
    <row r="9" spans="2:43" x14ac:dyDescent="0.25">
      <c r="L9" s="46"/>
      <c r="M9" s="46"/>
      <c r="P9" s="46"/>
      <c r="Q9" s="46"/>
      <c r="T9" s="46"/>
      <c r="U9" s="46"/>
    </row>
    <row r="10" spans="2:43" x14ac:dyDescent="0.25">
      <c r="H10" s="52" t="str">
        <f>CONCATENATE("=IF(",H7,H8,"=1,8,0)")</f>
        <v>=IF(B5=1,8,0)</v>
      </c>
      <c r="I10" s="49" t="str">
        <f>CONCATENATE("=IF(",I7,I8,"=1,4,0)")</f>
        <v>=IF(C5=1,4,0)</v>
      </c>
      <c r="J10" s="49" t="str">
        <f>CONCATENATE("=IF(",J7,J8,"=1,2,0)")</f>
        <v>=IF(D5=1,2,0)</v>
      </c>
      <c r="K10" s="50" t="str">
        <f>CONCATENATE("=IF(",K7,K8,"=1,1,0)")</f>
        <v>=IF(E5=1,1,0)</v>
      </c>
      <c r="L10" t="str">
        <f>CONCATENATE("=IF(",L7,L8,"=1,8,0)")</f>
        <v>=IF(F5=1,8,0)</v>
      </c>
      <c r="M10" t="str">
        <f>CONCATENATE("=IF(",M7,M8,"=1,4,0)")</f>
        <v>=IF(G5=1,4,0)</v>
      </c>
      <c r="N10" t="str">
        <f>CONCATENATE("=IF(",N7,N8,"=1,2,0)")</f>
        <v>=IF(H5=1,2,0)</v>
      </c>
      <c r="O10" t="str">
        <f>CONCATENATE("=IF(",O7,O8,"=1,1,0)")</f>
        <v>=IF(I5=1,1,0)</v>
      </c>
      <c r="P10" t="str">
        <f>CONCATENATE("=IF(",P7,P8,"=1,8,0)")</f>
        <v>=IF(J5=1,8,0)</v>
      </c>
      <c r="Q10" t="str">
        <f>CONCATENATE("=IF(",Q7,Q8,"=1,4,0)")</f>
        <v>=IF(K5=1,4,0)</v>
      </c>
      <c r="R10" t="str">
        <f>CONCATENATE("=IF(",R7,R8,"=1,2,0)")</f>
        <v>=IF(L5=1,2,0)</v>
      </c>
      <c r="S10" t="str">
        <f>CONCATENATE("=IF(",S7,S8,"=1,1,0)")</f>
        <v>=IF(M5=1,1,0)</v>
      </c>
      <c r="T10" t="str">
        <f>CONCATENATE("=IF(",T7,T8,"=1,8,0")</f>
        <v>=IF(N5=1,8,0</v>
      </c>
      <c r="U10" t="str">
        <f>CONCATENATE("=IF(",U7,U8,"=1,4,0")</f>
        <v>=IF(O5=1,4,0</v>
      </c>
      <c r="V10" t="str">
        <f>CONCATENATE("=IF(",V7,V8,"=1,2,0")</f>
        <v>=IF(P5=1,2,0</v>
      </c>
      <c r="W10" t="str">
        <f>CONCATENATE("=IF(",W7,W8,"=1,1,0")</f>
        <v>=IF(Q5=1,1,0</v>
      </c>
      <c r="X10" t="str">
        <f>CONCATENATE("=IF(",X7,X8,"=1,8,0")</f>
        <v>=IF(R5=1,8,0</v>
      </c>
      <c r="Y10" t="str">
        <f>CONCATENATE("=IF(",Y7,Y8,"=1,4,0")</f>
        <v>=IF(S5=1,4,0</v>
      </c>
      <c r="Z10" t="str">
        <f>CONCATENATE("=IF(",Z7,Z8,"=1,2,0")</f>
        <v>=IF(T5=1,2,0</v>
      </c>
      <c r="AA10" t="str">
        <f>CONCATENATE("=IF(",AA7,AA8,"=1,1,0")</f>
        <v>=IF(U5=1,1,0</v>
      </c>
      <c r="AB10" t="str">
        <f>CONCATENATE("=IF(",AB7,AB8,"=1,8,0")</f>
        <v>=IF(V5=1,8,0</v>
      </c>
      <c r="AC10" t="str">
        <f>CONCATENATE("=IF(",AC7,AC8,"=1,4,0")</f>
        <v>=IF(W5=1,4,0</v>
      </c>
      <c r="AD10" t="str">
        <f>CONCATENATE("=IF(",AD7,AD8,"=1,2,0")</f>
        <v>=IF(X5=1,2,0</v>
      </c>
      <c r="AE10" t="str">
        <f>CONCATENATE("=IF(",AE7,AE8,"=1,1,0")</f>
        <v>=IF(Y5=1,1,0</v>
      </c>
      <c r="AF10" t="str">
        <f>CONCATENATE("=IF(",AF7,AF8,"=1,8,0)")</f>
        <v>=IF(Z5=1,8,0)</v>
      </c>
      <c r="AG10" t="str">
        <f>CONCATENATE("=IF(",AG7,AG8,"=1,4,0)")</f>
        <v>=IF(AA5=1,4,0)</v>
      </c>
      <c r="AH10" t="str">
        <f>CONCATENATE("=IF(",AH7,AH8,"=1,2,0)")</f>
        <v>=IF(AB5=1,2,0)</v>
      </c>
      <c r="AI10" t="str">
        <f>CONCATENATE("=IF(",AI7,AI8,"=1,1,0)")</f>
        <v>=IF(AC5=1,1,0)</v>
      </c>
      <c r="AJ10" t="str">
        <f>CONCATENATE("=IF(",AJ7,AJ8,"=1,8,0)")</f>
        <v>=IF(AD5=1,8,0)</v>
      </c>
      <c r="AK10" t="str">
        <f>CONCATENATE("=IF(",AK7,AK8,"=1,4,0)")</f>
        <v>=IF(AE5=1,4,0)</v>
      </c>
      <c r="AL10" t="str">
        <f>CONCATENATE("=IF(",AL7,AL8,"=1,2,0)")</f>
        <v>=IF(AF5=1,2,0)</v>
      </c>
      <c r="AM10" t="str">
        <f>CONCATENATE("=IF(",AM7,AM8,"=1,1,0)")</f>
        <v>=IF(AG5=1,1,0)</v>
      </c>
      <c r="AN10" t="str">
        <f>CONCATENATE("=IF(",AN7,AN8,"=1,8,0)")</f>
        <v>=IF(AH5=1,8,0)</v>
      </c>
      <c r="AO10" t="str">
        <f>CONCATENATE("=IF(",AO7,AO8,"=1,4,0)")</f>
        <v>=IF(AI5=1,4,0)</v>
      </c>
      <c r="AP10" t="str">
        <f>CONCATENATE("=IF(",AP7,AP8,"=1,2,0)")</f>
        <v>=IF(AJ5=1,2,0)</v>
      </c>
      <c r="AQ10" t="str">
        <f>CONCATENATE("=IF(",AQ7,AQ8,"=1,1,0)")</f>
        <v>=IF(AK5=1,1,0)</v>
      </c>
    </row>
    <row r="11" spans="2:43" x14ac:dyDescent="0.25">
      <c r="H11" s="47" t="s">
        <v>64</v>
      </c>
      <c r="I11" s="48" t="s">
        <v>65</v>
      </c>
      <c r="J11" s="49" t="s">
        <v>66</v>
      </c>
      <c r="K11" s="50" t="s">
        <v>67</v>
      </c>
      <c r="L11" s="46" t="s">
        <v>68</v>
      </c>
      <c r="M11" s="46" t="s">
        <v>69</v>
      </c>
      <c r="N11" t="s">
        <v>70</v>
      </c>
      <c r="O11" t="s">
        <v>71</v>
      </c>
      <c r="P11" s="46" t="s">
        <v>72</v>
      </c>
      <c r="Q11" s="46" t="s">
        <v>73</v>
      </c>
      <c r="R11" t="s">
        <v>74</v>
      </c>
      <c r="S11" t="s">
        <v>75</v>
      </c>
      <c r="T11" s="46" t="s">
        <v>76</v>
      </c>
      <c r="U11" s="46" t="s">
        <v>77</v>
      </c>
      <c r="V11" t="s">
        <v>78</v>
      </c>
      <c r="W11" t="s">
        <v>79</v>
      </c>
      <c r="X11" t="s">
        <v>80</v>
      </c>
      <c r="Y11" t="s">
        <v>81</v>
      </c>
      <c r="Z11" t="s">
        <v>82</v>
      </c>
      <c r="AA11" t="s">
        <v>83</v>
      </c>
      <c r="AB11" t="s">
        <v>84</v>
      </c>
      <c r="AC11" t="s">
        <v>85</v>
      </c>
      <c r="AD11" t="s">
        <v>86</v>
      </c>
      <c r="AE11" t="s">
        <v>87</v>
      </c>
      <c r="AF11" t="s">
        <v>88</v>
      </c>
      <c r="AG11" t="s">
        <v>89</v>
      </c>
      <c r="AH11" t="s">
        <v>90</v>
      </c>
      <c r="AI11" t="s">
        <v>91</v>
      </c>
      <c r="AJ11" t="s">
        <v>92</v>
      </c>
      <c r="AK11" t="s">
        <v>93</v>
      </c>
      <c r="AL11" t="s">
        <v>94</v>
      </c>
      <c r="AM11" t="s">
        <v>95</v>
      </c>
      <c r="AN11" t="s">
        <v>96</v>
      </c>
      <c r="AO11" t="s">
        <v>97</v>
      </c>
      <c r="AP11" t="s">
        <v>98</v>
      </c>
      <c r="AQ11" t="s">
        <v>99</v>
      </c>
    </row>
    <row r="12" spans="2:43" x14ac:dyDescent="0.25">
      <c r="L12" s="46"/>
      <c r="M12" s="46"/>
      <c r="P12" s="46"/>
      <c r="Q12" s="46"/>
      <c r="T12" s="46"/>
      <c r="U12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Address Decoder</vt:lpstr>
      <vt:lpstr>Address Encoder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2018-06-15T19:24:23Z</dcterms:modified>
</cp:coreProperties>
</file>